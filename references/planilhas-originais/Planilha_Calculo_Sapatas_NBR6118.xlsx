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pata Isolad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<sst xmlns="http://schemas.openxmlformats.org/spreadsheetml/2006/main" count="42" uniqueCount="42">
  <si>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PLANILHA PARA CÁLCULO DE SAPATAS</t>
  </si>
  <si>
    <t xml:space="preserve">Sapata Isolada Rígida, Carga Centrada — NBR 6118:2014 e NBR 6122:2019</t>
  </si>
  <si>
    <t xml:space="preserve">DADOS DE ENTRADA</t>
  </si>
  <si>
    <t xml:space="preserve">RESULTADOS</t>
  </si>
  <si>
    <t xml:space="preserve">Carga axial característica do pilar  Nk (kN)</t>
  </si>
  <si>
    <t xml:space="preserve">Área necessária  A = Nk/σadm (m²)</t>
  </si>
  <si>
    <t xml:space="preserve">Tensão admissível do solo  σadm (kPa)</t>
  </si>
  <si>
    <t xml:space="preserve">Lado da sapata  L (m) — quadrada</t>
  </si>
  <si>
    <t xml:space="preserve">Largura do pilar  bp (cm)</t>
  </si>
  <si>
    <t xml:space="preserve">Área adotada (m²)</t>
  </si>
  <si>
    <t xml:space="preserve">Comprimento do pilar  hp (cm)</t>
  </si>
  <si>
    <t xml:space="preserve">Tensão no solo verificada  σ (kPa)</t>
  </si>
  <si>
    <t xml:space="preserve">Altura da sapata  H (cm)</t>
  </si>
  <si>
    <t xml:space="preserve">Verificação  σ ≤ σadm ?</t>
  </si>
  <si>
    <t xml:space="preserve">Cobrimento até c.g. da armadura  d' (cm)</t>
  </si>
  <si>
    <t xml:space="preserve">Carga de cálculo  Nd (kN)</t>
  </si>
  <si>
    <t xml:space="preserve">Resistência do concreto  fck (MPa)</t>
  </si>
  <si>
    <t xml:space="preserve">Pressão de cálculo no solo  pd (kN/m²)</t>
  </si>
  <si>
    <t xml:space="preserve">Resistência do aço  fyk (MPa) — CA-50</t>
  </si>
  <si>
    <t xml:space="preserve">Balanço (cm)</t>
  </si>
  <si>
    <t xml:space="preserve">Sapata quadrada, carga centrada (sem momento). σadm deve vir de sondagem/laudo geotécnico (NBR 6122).</t>
  </si>
  <si>
    <t xml:space="preserve">Momento fletor  Md (kN.m/m)</t>
  </si>
  <si>
    <t xml:space="preserve">Altura útil  d (cm)</t>
  </si>
  <si>
    <t xml:space="preserve">fcd (kN/cm²)</t>
  </si>
  <si>
    <t xml:space="preserve">fyd (kN/cm²)</t>
  </si>
  <si>
    <t xml:space="preserve">KMD</t>
  </si>
  <si>
    <t xml:space="preserve">ξ = x/d</t>
  </si>
  <si>
    <t xml:space="preserve">z (cm)</t>
  </si>
  <si>
    <t xml:space="preserve">As,calc (cm²/m)</t>
  </si>
  <si>
    <t xml:space="preserve">As,mín = 0,15%·100·H (cm²/m)</t>
  </si>
  <si>
    <t xml:space="preserve">As,adotada (cm²/m) — cada direção</t>
  </si>
  <si>
    <t xml:space="preserve">Perímetro crítico na face do pilar  u0 (cm)</t>
  </si>
  <si>
    <t xml:space="preserve">Tensão de punção  τSd0 (MPa)</t>
  </si>
  <si>
    <t xml:space="preserve">αv2 = 1 − fck/250</t>
  </si>
  <si>
    <t xml:space="preserve">τRd2 = 0,27·αv2·fcd (MPa)</t>
  </si>
  <si>
    <t xml:space="preserve">Verificação à punção (compressão diagonal na face)</t>
  </si>
  <si>
    <t xml:space="preserve">LEGENDA E OBSERVAÇÕES</t>
  </si>
  <si>
    <t xml:space="preserve">• L arredondado para cima em módulo de 5 cm.</t>
  </si>
  <si>
    <t xml:space="preserve">• Md calculado como sapata em balanço (cantilever) a partir da face do pilar, para faixa de 1 m.</t>
  </si>
  <si>
    <t xml:space="preserve">• As,adotada aplica-se em ambas as direções (sapata quadrada com carga centrada).</t>
  </si>
  <si>
    <t xml:space="preserve">• Verificação de punção limitada à compressão diagonal do concreto na face do pilar (NBR 6118, item 19.5.2.1). A verificação completa no perímetro C' (a 2d da face) exige taxa de armadura de flexão e não está incluída — recomenda-se conferência em software estrutural para cargas elevadas.</t>
  </si>
  <si>
    <t xml:space="preserve">• σadm deve ser fornecida por sondagem SPT/laudo geotécnico conforme NBR 6122:2019; não estimar sem investigação do solo.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</si>
</sst>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0.000"/>
    <numFmt numFmtId="168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2E5C8A"/>
        <bgColor rgb="FF666699"/>
      </patternFill>
    </fill>
    <fill>
      <patternFill patternType="solid">
        <fgColor rgb="FFFFFF99"/>
        <bgColor rgb="FFE8F0E8"/>
      </patternFill>
    </fill>
    <fill>
      <patternFill patternType="solid">
        <fgColor rgb="FFF2F2F2"/>
        <bgColor rgb="FFE8F0E8"/>
      </patternFill>
    </fill>
    <fill>
      <patternFill patternType="solid">
        <fgColor rgb="FFE8F0E8"/>
        <bgColor rgb="FFF2F2F2"/>
      </patternFill>
    </fill>
    <fill>
      <patternFill patternType="solid">
        <fgColor rgb="FFD9E8D9"/>
        <bgColor rgb="FFE8F0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E8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5" min="5" style="0" width="3"/>
    <col collapsed="false" customWidth="true" hidden="false" outlineLevel="0" max="6" min="6" style="0" width="40"/>
    <col collapsed="false" customWidth="true" hidden="false" outlineLevel="0" max="8" min="7" style="0" width="14"/>
  </cols>
  <sheetData>
    <row r="2" customFormat="false" ht="21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3.5" hidden="false" customHeight="true" outlineLevel="0" collapsed="false">
      <c r="B3" s="1"/>
      <c r="C3" s="1"/>
      <c r="D3" s="1"/>
      <c r="E3" s="1"/>
      <c r="F3" s="1"/>
      <c r="G3" s="1"/>
      <c r="H3" s="1"/>
    </row>
    <row r="4" customFormat="false" ht="15.75" hidden="false" customHeight="true" outlineLevel="0" collapsed="false">
      <c r="B4" s="2" t="s">
        <v>1</v>
      </c>
      <c r="C4" s="2"/>
      <c r="D4" s="2"/>
      <c r="E4" s="2"/>
      <c r="F4" s="2"/>
      <c r="G4" s="2"/>
      <c r="H4" s="2"/>
    </row>
    <row r="6" customFormat="false" ht="18" hidden="false" customHeight="true" outlineLevel="0" collapsed="false">
      <c r="B6" s="3" t="s">
        <v>2</v>
      </c>
      <c r="C6" s="3"/>
      <c r="D6" s="3"/>
      <c r="F6" s="3" t="s">
        <v>3</v>
      </c>
      <c r="G6" s="3"/>
      <c r="H6" s="3"/>
    </row>
    <row r="7" customFormat="false" ht="15" hidden="false" customHeight="false" outlineLevel="0" collapsed="false">
      <c r="B7" s="4" t="s">
        <v>4</v>
      </c>
      <c r="C7" s="4"/>
      <c r="D7" s="5" t="n">
        <v>600</v>
      </c>
      <c r="F7" s="4" t="s">
        <v>5</v>
      </c>
      <c r="G7" s="4"/>
      <c r="H7" s="6" t="n">
        <f aca="false">D7/D8</f>
        <v>3</v>
      </c>
    </row>
    <row r="8" customFormat="false" ht="15" hidden="false" customHeight="false" outlineLevel="0" collapsed="false">
      <c r="B8" s="4" t="s">
        <v>6</v>
      </c>
      <c r="C8" s="4"/>
      <c r="D8" s="5" t="n">
        <v>200</v>
      </c>
      <c r="F8" s="4" t="s">
        <v>7</v>
      </c>
      <c r="G8" s="4"/>
      <c r="H8" s="6" t="n">
        <f aca="false">ROUNDUP(SQRT(H7)*20,0)/20</f>
        <v>1.75</v>
      </c>
    </row>
    <row r="9" customFormat="false" ht="15" hidden="false" customHeight="false" outlineLevel="0" collapsed="false">
      <c r="B9" s="4" t="s">
        <v>8</v>
      </c>
      <c r="C9" s="4"/>
      <c r="D9" s="5" t="n">
        <v>20</v>
      </c>
      <c r="F9" s="4" t="s">
        <v>9</v>
      </c>
      <c r="G9" s="4"/>
      <c r="H9" s="6" t="n">
        <f aca="false">H8^2</f>
        <v>3.0625</v>
      </c>
    </row>
    <row r="10" customFormat="false" ht="15" hidden="false" customHeight="false" outlineLevel="0" collapsed="false">
      <c r="B10" s="4" t="s">
        <v>10</v>
      </c>
      <c r="C10" s="4"/>
      <c r="D10" s="5" t="n">
        <v>40</v>
      </c>
      <c r="F10" s="4" t="s">
        <v>11</v>
      </c>
      <c r="G10" s="4"/>
      <c r="H10" s="7" t="n">
        <f aca="false">D7/H8^2</f>
        <v>195.918367346939</v>
      </c>
    </row>
    <row r="11" customFormat="false" ht="15" hidden="false" customHeight="false" outlineLevel="0" collapsed="false">
      <c r="B11" s="4" t="s">
        <v>12</v>
      </c>
      <c r="C11" s="4"/>
      <c r="D11" s="5" t="n">
        <v>40</v>
      </c>
      <c r="F11" s="8" t="s">
        <v>13</v>
      </c>
      <c r="G11" s="8"/>
      <c r="H11" s="9" t="str">
        <f aca="false">IF(H10&lt;=D8,"OK","AUMENTE L")</f>
        <v>OK</v>
      </c>
    </row>
    <row r="12" customFormat="false" ht="15" hidden="false" customHeight="false" outlineLevel="0" collapsed="false">
      <c r="B12" s="4" t="s">
        <v>14</v>
      </c>
      <c r="C12" s="4"/>
      <c r="D12" s="5" t="n">
        <v>5</v>
      </c>
      <c r="F12" s="4" t="s">
        <v>15</v>
      </c>
      <c r="G12" s="4"/>
      <c r="H12" s="6" t="n">
        <f aca="false">D7*1.4</f>
        <v>840</v>
      </c>
    </row>
    <row r="13" customFormat="false" ht="15" hidden="false" customHeight="false" outlineLevel="0" collapsed="false">
      <c r="B13" s="4" t="s">
        <v>16</v>
      </c>
      <c r="C13" s="4"/>
      <c r="D13" s="5" t="n">
        <v>25</v>
      </c>
      <c r="F13" s="4" t="s">
        <v>17</v>
      </c>
      <c r="G13" s="4"/>
      <c r="H13" s="7" t="n">
        <f aca="false">H12/H8^2</f>
        <v>274.285714285714</v>
      </c>
    </row>
    <row r="14" customFormat="false" ht="15" hidden="false" customHeight="false" outlineLevel="0" collapsed="false">
      <c r="B14" s="4" t="s">
        <v>18</v>
      </c>
      <c r="C14" s="4"/>
      <c r="D14" s="5" t="n">
        <v>500</v>
      </c>
      <c r="F14" s="4" t="s">
        <v>19</v>
      </c>
      <c r="G14" s="4"/>
      <c r="H14" s="6" t="n">
        <f aca="false">(H8*100-D9)/2</f>
        <v>77.5</v>
      </c>
    </row>
    <row r="15" customFormat="false" ht="25.5" hidden="false" customHeight="true" outlineLevel="0" collapsed="false">
      <c r="B15" s="10" t="s">
        <v>20</v>
      </c>
      <c r="C15" s="10"/>
      <c r="D15" s="10"/>
      <c r="F15" s="4" t="s">
        <v>21</v>
      </c>
      <c r="G15" s="4"/>
      <c r="H15" s="6" t="n">
        <f aca="false">H13*(H14/100)^2/2</f>
        <v>82.3714285714286</v>
      </c>
    </row>
    <row r="16" customFormat="false" ht="15" hidden="false" customHeight="false" outlineLevel="0" collapsed="false">
      <c r="F16" s="4" t="s">
        <v>22</v>
      </c>
      <c r="G16" s="4"/>
      <c r="H16" s="6" t="n">
        <f aca="false">D11-D12</f>
        <v>35</v>
      </c>
    </row>
    <row r="17" customFormat="false" ht="15" hidden="false" customHeight="false" outlineLevel="0" collapsed="false">
      <c r="F17" s="4" t="s">
        <v>23</v>
      </c>
      <c r="G17" s="4"/>
      <c r="H17" s="11" t="n">
        <f aca="false">(D13/10)/1.4</f>
        <v>1.78571428571429</v>
      </c>
    </row>
    <row r="18" customFormat="false" ht="15" hidden="false" customHeight="false" outlineLevel="0" collapsed="false">
      <c r="F18" s="4" t="s">
        <v>24</v>
      </c>
      <c r="G18" s="4"/>
      <c r="H18" s="11" t="n">
        <f aca="false">(D14/10)/1.15</f>
        <v>43.4782608695652</v>
      </c>
    </row>
    <row r="19" customFormat="false" ht="15" hidden="false" customHeight="false" outlineLevel="0" collapsed="false">
      <c r="F19" s="4" t="s">
        <v>25</v>
      </c>
      <c r="G19" s="4"/>
      <c r="H19" s="12" t="n">
        <f aca="false">(H15*100)/(100*H16^2*H17)</f>
        <v>0.0376555102040816</v>
      </c>
    </row>
    <row r="20" customFormat="false" ht="15" hidden="false" customHeight="false" outlineLevel="0" collapsed="false">
      <c r="F20" s="4" t="s">
        <v>26</v>
      </c>
      <c r="G20" s="4"/>
      <c r="H20" s="12" t="n">
        <f aca="false">IF(0.4624-1.088*H19&lt;0,"AUMENTE H",(0.68-SQRT(0.4624-1.088*H19))/0.544)</f>
        <v>0.0566598874379109</v>
      </c>
    </row>
    <row r="21" customFormat="false" ht="15" hidden="false" customHeight="false" outlineLevel="0" collapsed="false">
      <c r="F21" s="4" t="s">
        <v>27</v>
      </c>
      <c r="G21" s="4"/>
      <c r="H21" s="6" t="n">
        <f aca="false">IF(ISNUMBER(H20),H16-0.4*H20*H16,"-")</f>
        <v>34.2067615758692</v>
      </c>
    </row>
    <row r="22" customFormat="false" ht="15" hidden="false" customHeight="false" outlineLevel="0" collapsed="false">
      <c r="F22" s="4" t="s">
        <v>28</v>
      </c>
      <c r="G22" s="4"/>
      <c r="H22" s="6" t="n">
        <f aca="false">IF(ISNUMBER(H21),(H15*100)/(H18*H21),"-")</f>
        <v>5.53850399705578</v>
      </c>
    </row>
    <row r="23" customFormat="false" ht="15" hidden="false" customHeight="false" outlineLevel="0" collapsed="false">
      <c r="F23" s="4" t="s">
        <v>29</v>
      </c>
      <c r="G23" s="4"/>
      <c r="H23" s="6" t="n">
        <f aca="false">0.0015*100*D11</f>
        <v>6</v>
      </c>
    </row>
    <row r="24" customFormat="false" ht="15" hidden="false" customHeight="false" outlineLevel="0" collapsed="false">
      <c r="F24" s="8" t="s">
        <v>30</v>
      </c>
      <c r="G24" s="8"/>
      <c r="H24" s="13" t="n">
        <f aca="false">IF(ISNUMBER(H22),MAX(H22,H23),"-")</f>
        <v>6</v>
      </c>
    </row>
    <row r="25" customFormat="false" ht="15" hidden="false" customHeight="false" outlineLevel="0" collapsed="false">
      <c r="F25" s="4" t="s">
        <v>31</v>
      </c>
      <c r="G25" s="4"/>
      <c r="H25" s="7" t="n">
        <f aca="false">2*(D9+D10)</f>
        <v>120</v>
      </c>
    </row>
    <row r="26" customFormat="false" ht="15" hidden="false" customHeight="false" outlineLevel="0" collapsed="false">
      <c r="F26" s="4" t="s">
        <v>32</v>
      </c>
      <c r="G26" s="4"/>
      <c r="H26" s="6" t="n">
        <f aca="false">(H12/(H25*H16))*10</f>
        <v>2</v>
      </c>
    </row>
    <row r="27" customFormat="false" ht="15" hidden="false" customHeight="false" outlineLevel="0" collapsed="false">
      <c r="F27" s="4" t="s">
        <v>33</v>
      </c>
      <c r="G27" s="4"/>
      <c r="H27" s="6" t="n">
        <f aca="false">1-D13/250</f>
        <v>0.9</v>
      </c>
    </row>
    <row r="28" customFormat="false" ht="15" hidden="false" customHeight="false" outlineLevel="0" collapsed="false">
      <c r="F28" s="4" t="s">
        <v>34</v>
      </c>
      <c r="G28" s="4"/>
      <c r="H28" s="6" t="n">
        <f aca="false">0.27*H27*(D13/1.4)</f>
        <v>4.33928571428571</v>
      </c>
    </row>
    <row r="29" customFormat="false" ht="15" hidden="false" customHeight="false" outlineLevel="0" collapsed="false">
      <c r="F29" s="8" t="s">
        <v>35</v>
      </c>
      <c r="G29" s="8"/>
      <c r="H29" s="9" t="str">
        <f aca="false">IF(H26&lt;=H28,"OK","AUMENTE H OU A SEÇÃO DO PILAR")</f>
        <v>OK</v>
      </c>
    </row>
    <row r="31" customFormat="false" ht="18" hidden="false" customHeight="true" outlineLevel="0" collapsed="false">
      <c r="B31" s="3" t="s">
        <v>36</v>
      </c>
      <c r="C31" s="3"/>
      <c r="D31" s="3"/>
      <c r="E31" s="3"/>
      <c r="F31" s="3"/>
      <c r="G31" s="3"/>
      <c r="H31" s="3"/>
    </row>
    <row r="32" customFormat="false" ht="15" hidden="false" customHeight="true" outlineLevel="0" collapsed="false">
      <c r="B32" s="10" t="s">
        <v>37</v>
      </c>
      <c r="C32" s="10"/>
      <c r="D32" s="10"/>
      <c r="E32" s="10"/>
      <c r="F32" s="10"/>
      <c r="G32" s="10"/>
      <c r="H32" s="10"/>
    </row>
    <row r="33" customFormat="false" ht="15" hidden="false" customHeight="true" outlineLevel="0" collapsed="false">
      <c r="B33" s="10" t="s">
        <v>38</v>
      </c>
      <c r="C33" s="10"/>
      <c r="D33" s="10"/>
      <c r="E33" s="10"/>
      <c r="F33" s="10"/>
      <c r="G33" s="10"/>
      <c r="H33" s="10"/>
    </row>
    <row r="34" customFormat="false" ht="15" hidden="false" customHeight="true" outlineLevel="0" collapsed="false">
      <c r="B34" s="10" t="s">
        <v>39</v>
      </c>
      <c r="C34" s="10"/>
      <c r="D34" s="10"/>
      <c r="E34" s="10"/>
      <c r="F34" s="10"/>
      <c r="G34" s="10"/>
      <c r="H34" s="10"/>
    </row>
    <row r="35" customFormat="false" ht="15" hidden="false" customHeight="true" outlineLevel="0" collapsed="false">
      <c r="B35" s="10" t="s">
        <v>40</v>
      </c>
      <c r="C35" s="10"/>
      <c r="D35" s="10"/>
      <c r="E35" s="10"/>
      <c r="F35" s="10"/>
      <c r="G35" s="10"/>
      <c r="H35" s="10"/>
    </row>
    <row r="36" customFormat="false" ht="15" hidden="false" customHeight="true" outlineLevel="0" collapsed="false">
      <c r="B36" s="10" t="s">
        <v>41</v>
      </c>
      <c r="C36" s="10"/>
      <c r="D36" s="10"/>
      <c r="E36" s="10"/>
      <c r="F36" s="10"/>
      <c r="G36" s="10"/>
      <c r="H36" s="10"/>
    </row>
  </sheetData>
  <mergeCells count="42">
    <mergeCell ref="B2:H3"/>
    <mergeCell ref="B4:H4"/>
    <mergeCell ref="B6:D6"/>
    <mergeCell ref="F6:H6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D15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B31:H31"/>
    <mergeCell ref="B32:H32"/>
    <mergeCell ref="B33:H33"/>
    <mergeCell ref="B34:H34"/>
    <mergeCell ref="B35:H35"/>
    <mergeCell ref="B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2026-08-08T14:07:44Z</dcterms:created>
  <dc:creator>openpyxl</dc:creator>
  <dc:description/>
  <dc:language>en-US</dc:language>
  <cp:lastModifiedBy/>
  <dcterms:modified xsi:type="dcterms:W3CDTF">2026-08-08T14:07:44Z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
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ensionamento Vig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<sst xmlns="http://schemas.openxmlformats.org/spreadsheetml/2006/main" count="34" uniqueCount="34">
  <si>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PLANILHA PARA CÁLCULO DE VIGAS</t>
  </si>
  <si>
    <t xml:space="preserve">Flexão Simples — Armadura Simples — Seção Retangular (NBR 6118:2014)</t>
  </si>
  <si>
    <t xml:space="preserve">DADOS DE ENTRADA</t>
  </si>
  <si>
    <t xml:space="preserve">RESULTADOS DO DIMENSIONAMENTO</t>
  </si>
  <si>
    <t xml:space="preserve">Largura da viga  b (cm)</t>
  </si>
  <si>
    <t xml:space="preserve">Altura útil  d (cm)</t>
  </si>
  <si>
    <t xml:space="preserve">Altura da viga  h (cm)</t>
  </si>
  <si>
    <t xml:space="preserve">fcd (kN/cm²)</t>
  </si>
  <si>
    <t xml:space="preserve">Cobrimento até c.g. da armadura  d' (cm)</t>
  </si>
  <si>
    <t xml:space="preserve">fyd (kN/cm²)</t>
  </si>
  <si>
    <t xml:space="preserve">Resistência do concreto  fck (MPa)</t>
  </si>
  <si>
    <t xml:space="preserve">KMD = Md / (b · d² · fcd)</t>
  </si>
  <si>
    <t xml:space="preserve">Resistência do aço  fyk (MPa)  — CA-50</t>
  </si>
  <si>
    <t xml:space="preserve">ξ = x/d (linha neutra relativa)</t>
  </si>
  <si>
    <t xml:space="preserve">Momento fletor de cálculo  Md (kN.m)</t>
  </si>
  <si>
    <t xml:space="preserve">x — profundidade da linha neutra (cm)</t>
  </si>
  <si>
    <t xml:space="preserve">Preencha apenas as células em amarelo. Se você tiver o momento característico Mk, use Md = Mk x 1,4 (γf).</t>
  </si>
  <si>
    <t xml:space="preserve">z — braço de alavanca (cm)</t>
  </si>
  <si>
    <t xml:space="preserve">As,calc — armadura calculada (cm²)</t>
  </si>
  <si>
    <t xml:space="preserve">ρmin — taxa mínima (Tabela 17.3, NBR 6118)</t>
  </si>
  <si>
    <t xml:space="preserve">As,min (cm²)</t>
  </si>
  <si>
    <t xml:space="preserve">As,adotada (cm²)</t>
  </si>
  <si>
    <t xml:space="preserve">VERIFICAÇÕES</t>
  </si>
  <si>
    <t xml:space="preserve">ξlim (domínio 2-3, ductilidade, fck≤50MPa)</t>
  </si>
  <si>
    <t xml:space="preserve">Situação quanto à ductilidade</t>
  </si>
  <si>
    <t xml:space="preserve">Taxa de armadura adotada ρ = As/(b·d)</t>
  </si>
  <si>
    <t xml:space="preserve">As,calc ≥ As,min ?</t>
  </si>
  <si>
    <t xml:space="preserve">LEGENDA E OBSERVAÇÕES</t>
  </si>
  <si>
    <t xml:space="preserve">• Células amarelas (azul, negrito): dados de entrada — editáveis.</t>
  </si>
  <si>
    <t xml:space="preserve">• Células cinza: resultados calculados automaticamente por fórmula — não editar.</t>
  </si>
  <si>
    <t xml:space="preserve">• Método: dimensionamento no Estádio III (ruptura), diagrama retangular simplificado (α_c=0,85 / λ=0,80), γc=1,4 e γs=1,15, conforme NBR 6118:2014, itens 17.2 e 17.3.</t>
  </si>
  <si>
    <t xml:space="preserve">• ρmin conforme Tabela 17.3 da NBR 6118:2014 (concreto C20 a C50, aço CA-50).</t>
  </si>
  <si>
    <t xml:space="preserve">• Válido apenas para seção retangular com armadura simples e fck ≤ 50 MPa. Para armadura dupla ou seção T, utilize planilha específica.</t>
  </si>
  <si>
    <t xml:space="preserve">• Esta planilha é uma ferramenta de apoio; o dimensionamento final deve ser conferido e assinado por engenheiro responsável (ART/RRT).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</si>
</sst>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E8F0E8"/>
      </patternFill>
    </fill>
    <fill>
      <patternFill patternType="solid">
        <fgColor rgb="FFF2F2F2"/>
        <bgColor rgb="FFE8F0E8"/>
      </patternFill>
    </fill>
    <fill>
      <patternFill patternType="solid">
        <fgColor rgb="FFD9E8D9"/>
        <bgColor rgb="FFE8F0E8"/>
      </patternFill>
    </fill>
    <fill>
      <patternFill patternType="solid">
        <fgColor rgb="FFE8F0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8" min="7" style="0" width="16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4</v>
      </c>
      <c r="C7" s="4"/>
      <c r="D7" s="5" t="n">
        <v>20</v>
      </c>
      <c r="F7" s="4" t="s">
        <v>5</v>
      </c>
      <c r="G7" s="4"/>
      <c r="H7" s="6" t="n">
        <f aca="false">D8-D9</f>
        <v>46</v>
      </c>
    </row>
    <row r="8" customFormat="false" ht="15" hidden="false" customHeight="false" outlineLevel="0" collapsed="false">
      <c r="B8" s="4" t="s">
        <v>6</v>
      </c>
      <c r="C8" s="4"/>
      <c r="D8" s="5" t="n">
        <v>50</v>
      </c>
      <c r="F8" s="4" t="s">
        <v>7</v>
      </c>
      <c r="G8" s="4"/>
      <c r="H8" s="7" t="n">
        <f aca="false">(D10/10)/1.4</f>
        <v>2.14285714285714</v>
      </c>
    </row>
    <row r="9" customFormat="false" ht="15" hidden="false" customHeight="false" outlineLevel="0" collapsed="false">
      <c r="B9" s="4" t="s">
        <v>8</v>
      </c>
      <c r="C9" s="4"/>
      <c r="D9" s="5" t="n">
        <v>4</v>
      </c>
      <c r="F9" s="4" t="s">
        <v>9</v>
      </c>
      <c r="G9" s="4"/>
      <c r="H9" s="7" t="n">
        <f aca="false">(D11/10)/1.15</f>
        <v>43.4782608695652</v>
      </c>
    </row>
    <row r="10" customFormat="false" ht="15" hidden="false" customHeight="false" outlineLevel="0" collapsed="false">
      <c r="B10" s="4" t="s">
        <v>10</v>
      </c>
      <c r="C10" s="4"/>
      <c r="D10" s="5" t="n">
        <v>30</v>
      </c>
      <c r="F10" s="4" t="s">
        <v>11</v>
      </c>
      <c r="G10" s="4"/>
      <c r="H10" s="8" t="n">
        <f aca="false">(D12*100)/(D7*H7^2*H8)</f>
        <v>0.0882167611846251</v>
      </c>
    </row>
    <row r="11" customFormat="false" ht="15" hidden="false" customHeight="false" outlineLevel="0" collapsed="false">
      <c r="B11" s="4" t="s">
        <v>12</v>
      </c>
      <c r="C11" s="4"/>
      <c r="D11" s="5" t="n">
        <v>500</v>
      </c>
      <c r="F11" s="4" t="s">
        <v>13</v>
      </c>
      <c r="G11" s="4"/>
      <c r="H11" s="8" t="n">
        <f aca="false">IF(0.4624-1.088*H10&lt;0,"DOMÍNIO 4 - AUMENTE A SEÇÃO",(0.68-SQRT(0.4624-1.088*H10))/0.544)</f>
        <v>0.137267475034836</v>
      </c>
    </row>
    <row r="12" customFormat="false" ht="15" hidden="false" customHeight="false" outlineLevel="0" collapsed="false">
      <c r="B12" s="4" t="s">
        <v>14</v>
      </c>
      <c r="C12" s="4"/>
      <c r="D12" s="5" t="n">
        <v>80</v>
      </c>
      <c r="F12" s="4" t="s">
        <v>15</v>
      </c>
      <c r="G12" s="4"/>
      <c r="H12" s="6" t="n">
        <f aca="false">IF(ISNUMBER(H11),H11*H7,"-")</f>
        <v>6.31430385160246</v>
      </c>
    </row>
    <row r="13" customFormat="false" ht="24" hidden="false" customHeight="true" outlineLevel="0" collapsed="false">
      <c r="B13" s="9" t="s">
        <v>16</v>
      </c>
      <c r="C13" s="9"/>
      <c r="D13" s="9"/>
      <c r="F13" s="4" t="s">
        <v>17</v>
      </c>
      <c r="G13" s="4"/>
      <c r="H13" s="6" t="n">
        <f aca="false">IF(ISNUMBER(H12),H7-0.4*H12,"-")</f>
        <v>43.474278459359</v>
      </c>
    </row>
    <row r="14" customFormat="false" ht="15" hidden="false" customHeight="false" outlineLevel="0" collapsed="false">
      <c r="F14" s="4" t="s">
        <v>18</v>
      </c>
      <c r="G14" s="4"/>
      <c r="H14" s="6" t="n">
        <f aca="false">IF(ISNUMBER(H13),(D12*100)/(H9*H13),"-")</f>
        <v>4.23238766738839</v>
      </c>
    </row>
    <row r="15" customFormat="false" ht="15" hidden="false" customHeight="false" outlineLevel="0" collapsed="false">
      <c r="F15" s="4" t="s">
        <v>19</v>
      </c>
      <c r="G15" s="4"/>
      <c r="H15" s="10" t="n">
        <f aca="false">_xlfn.IFS(D10&lt;=25,0.0015,D10&lt;=30,0.00173,D10&lt;=35,0.00201,D10&lt;=40,0.0023,D10&lt;=45,0.00259,D10&lt;=50,0.00288,TRUE(),0.0033)</f>
        <v>0.00173</v>
      </c>
    </row>
    <row r="16" customFormat="false" ht="15" hidden="false" customHeight="false" outlineLevel="0" collapsed="false">
      <c r="F16" s="4" t="s">
        <v>20</v>
      </c>
      <c r="G16" s="4"/>
      <c r="H16" s="6" t="n">
        <f aca="false">H15*D7*D8</f>
        <v>1.73</v>
      </c>
    </row>
    <row r="17" customFormat="false" ht="15" hidden="false" customHeight="false" outlineLevel="0" collapsed="false">
      <c r="F17" s="11" t="s">
        <v>21</v>
      </c>
      <c r="G17" s="11"/>
      <c r="H17" s="12" t="n">
        <f aca="false">IF(ISNUMBER(H14),MAX(H14,H16),"-")</f>
        <v>4.23238766738839</v>
      </c>
    </row>
    <row r="19" customFormat="false" ht="15" hidden="false" customHeight="true" outlineLevel="0" collapsed="false">
      <c r="F19" s="3" t="s">
        <v>22</v>
      </c>
      <c r="G19" s="3"/>
      <c r="H19" s="3"/>
    </row>
    <row r="20" customFormat="false" ht="15" hidden="false" customHeight="false" outlineLevel="0" collapsed="false">
      <c r="F20" s="4" t="s">
        <v>23</v>
      </c>
      <c r="G20" s="4"/>
      <c r="H20" s="6" t="n">
        <v>0.45</v>
      </c>
    </row>
    <row r="21" customFormat="false" ht="23.85" hidden="false" customHeight="false" outlineLevel="0" collapsed="false">
      <c r="F21" s="4" t="s">
        <v>24</v>
      </c>
      <c r="G21" s="4"/>
      <c r="H21" s="13" t="str">
        <f aca="false">IF(NOT(ISNUMBER(H11)),"REDIMENSIONAR SEÇÃO",IF(H11&lt;=H20,"OK - armadura simples","NECESSÁRIA ARMADURA DUPLA"))</f>
        <v>OK - armadura simples</v>
      </c>
    </row>
    <row r="22" customFormat="false" ht="15" hidden="false" customHeight="false" outlineLevel="0" collapsed="false">
      <c r="F22" s="4" t="s">
        <v>25</v>
      </c>
      <c r="G22" s="4"/>
      <c r="H22" s="10" t="n">
        <f aca="false">IF(ISNUMBER(H17),H17/(D7*H7),"-")</f>
        <v>0.00460042137759608</v>
      </c>
    </row>
    <row r="23" customFormat="false" ht="15" hidden="false" customHeight="false" outlineLevel="0" collapsed="false">
      <c r="F23" s="4" t="s">
        <v>26</v>
      </c>
      <c r="G23" s="4"/>
      <c r="H23" s="13" t="str">
        <f aca="false">IF(NOT(ISNUMBER(H14)),"-",IF(H14&gt;=H16,"OK","As,min GOVERNA"))</f>
        <v>OK</v>
      </c>
    </row>
    <row r="26" customFormat="false" ht="15" hidden="false" customHeight="true" outlineLevel="0" collapsed="false">
      <c r="B26" s="3" t="s">
        <v>27</v>
      </c>
      <c r="C26" s="3"/>
      <c r="D26" s="3"/>
      <c r="E26" s="3"/>
      <c r="F26" s="3"/>
      <c r="G26" s="3"/>
      <c r="H26" s="3"/>
    </row>
    <row r="27" customFormat="false" ht="15" hidden="false" customHeight="true" outlineLevel="0" collapsed="false">
      <c r="B27" s="9" t="s">
        <v>28</v>
      </c>
      <c r="C27" s="9"/>
      <c r="D27" s="9"/>
      <c r="E27" s="9"/>
      <c r="F27" s="9"/>
      <c r="G27" s="9"/>
      <c r="H27" s="9"/>
    </row>
    <row r="28" customFormat="false" ht="15" hidden="false" customHeight="true" outlineLevel="0" collapsed="false">
      <c r="B28" s="9" t="s">
        <v>29</v>
      </c>
      <c r="C28" s="9"/>
      <c r="D28" s="9"/>
      <c r="E28" s="9"/>
      <c r="F28" s="9"/>
      <c r="G28" s="9"/>
      <c r="H28" s="9"/>
    </row>
    <row r="29" customFormat="false" ht="15" hidden="false" customHeight="true" outlineLevel="0" collapsed="false">
      <c r="B29" s="9" t="s">
        <v>30</v>
      </c>
      <c r="C29" s="9"/>
      <c r="D29" s="9"/>
      <c r="E29" s="9"/>
      <c r="F29" s="9"/>
      <c r="G29" s="9"/>
      <c r="H29" s="9"/>
    </row>
    <row r="30" customFormat="false" ht="15" hidden="false" customHeight="true" outlineLevel="0" collapsed="false">
      <c r="B30" s="9" t="s">
        <v>31</v>
      </c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B31" s="9" t="s">
        <v>32</v>
      </c>
      <c r="C31" s="9"/>
      <c r="D31" s="9"/>
      <c r="E31" s="9"/>
      <c r="F31" s="9"/>
      <c r="G31" s="9"/>
      <c r="H31" s="9"/>
    </row>
    <row r="32" customFormat="false" ht="15" hidden="false" customHeight="true" outlineLevel="0" collapsed="false">
      <c r="B32" s="9" t="s">
        <v>33</v>
      </c>
      <c r="C32" s="9"/>
      <c r="D32" s="9"/>
      <c r="E32" s="9"/>
      <c r="F32" s="9"/>
      <c r="G32" s="9"/>
      <c r="H32" s="9"/>
    </row>
  </sheetData>
  <mergeCells count="34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D13"/>
    <mergeCell ref="F13:G13"/>
    <mergeCell ref="F14:G14"/>
    <mergeCell ref="F15:G15"/>
    <mergeCell ref="F16:G16"/>
    <mergeCell ref="F17:G17"/>
    <mergeCell ref="F19:H19"/>
    <mergeCell ref="F20:G20"/>
    <mergeCell ref="F21:G21"/>
    <mergeCell ref="F22:G22"/>
    <mergeCell ref="F23:G23"/>
    <mergeCell ref="B26:H26"/>
    <mergeCell ref="B27:H27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2026-08-08T14:01:15Z</dcterms:created>
  <dc:creator>openpyxl</dc:creator>
  <dc:description/>
  <dc:language>en-US</dc:language>
  <cp:lastModifiedBy/>
  <dcterms:modified xsi:type="dcterms:W3CDTF">2026-08-08T14:01:15Z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
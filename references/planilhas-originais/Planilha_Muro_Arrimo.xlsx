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ro de Arrim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<sst xmlns="http://schemas.openxmlformats.org/spreadsheetml/2006/main" count="43" uniqueCount="43">
  <si>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PLANILHA PARA CÁLCULO DE MUROS DE ARRIMO</t>
  </si>
  <si>
    <t xml:space="preserve">Muro de Flexão (Cantilever) — Verificação de Estabilidade Global — NBR 6122:2019</t>
  </si>
  <si>
    <t xml:space="preserve">DADOS DE ENTRADA — GEOMETRIA</t>
  </si>
  <si>
    <t xml:space="preserve">RESULTADOS</t>
  </si>
  <si>
    <t xml:space="preserve">Altura total do muro  H (m)</t>
  </si>
  <si>
    <t xml:space="preserve">Altura do fuste  h1 = H − h0 (m)</t>
  </si>
  <si>
    <t xml:space="preserve">Altura da base/sapata  h0 (m)</t>
  </si>
  <si>
    <t xml:space="preserve">Coeficiente de empuxo ativo  Ka</t>
  </si>
  <si>
    <t xml:space="preserve">Largura total da base  b2 (m)</t>
  </si>
  <si>
    <t xml:space="preserve">Empuxo ativo do solo  Ea (kN/m)</t>
  </si>
  <si>
    <t xml:space="preserve">Largura do fuste  bw (m)</t>
  </si>
  <si>
    <t xml:space="preserve">Empuxo da sobrecarga  Eq (kN/m)</t>
  </si>
  <si>
    <t xml:space="preserve">Distância do pé (toe) até o fuste  dt (m)</t>
  </si>
  <si>
    <t xml:space="preserve">Momento de tombamento  Mt (kN.m/m)</t>
  </si>
  <si>
    <t xml:space="preserve">Peso do fuste  W1 (kN/m)</t>
  </si>
  <si>
    <t xml:space="preserve">DADOS DE ENTRADA — SOLO E MATERIAIS</t>
  </si>
  <si>
    <t xml:space="preserve">Peso da base  W2 (kN/m)</t>
  </si>
  <si>
    <t xml:space="preserve">Ângulo de atrito do solo  φ (graus)</t>
  </si>
  <si>
    <t xml:space="preserve">Comprimento do talão  Lh (m)</t>
  </si>
  <si>
    <t xml:space="preserve">Peso específico do solo  γsolo (kN/m³)</t>
  </si>
  <si>
    <t xml:space="preserve">Peso do solo sobre o talão  W3 (kN/m)</t>
  </si>
  <si>
    <t xml:space="preserve">Sobrecarga no talude  q (kN/m²)</t>
  </si>
  <si>
    <t xml:space="preserve">Sobrecarga sobre o talão  W4 (kN/m)</t>
  </si>
  <si>
    <t xml:space="preserve">Peso específico do concreto  γconcreto (kN/m³)</t>
  </si>
  <si>
    <t xml:space="preserve">Peso total  ΣW (kN/m)</t>
  </si>
  <si>
    <t xml:space="preserve">Coeficiente de atrito base-solo  μ = tanδ</t>
  </si>
  <si>
    <t xml:space="preserve">Momento estabilizante  Me (kN.m/m)</t>
  </si>
  <si>
    <t xml:space="preserve">Tensão admissível do solo  σadm (kPa)</t>
  </si>
  <si>
    <t xml:space="preserve">FS ao tombamento = Me/Mt (mín. 1,5)</t>
  </si>
  <si>
    <t xml:space="preserve">Geometria: muro em L com fuste de largura constante bw, base retangular b2×h0. Talude do terrapleno considerado horizontal. Cálculo por metro linear de muro.</t>
  </si>
  <si>
    <t xml:space="preserve">Verificação — tombamento</t>
  </si>
  <si>
    <t xml:space="preserve">FS ao deslizamento = ΣW·μ/(Ea+Eq) (mín. 1,5)</t>
  </si>
  <si>
    <t xml:space="preserve">Verificação — deslizamento</t>
  </si>
  <si>
    <t xml:space="preserve">Excentricidade  e = b2/2 − (Me−Mt)/ΣW (m)</t>
  </si>
  <si>
    <t xml:space="preserve">Núcleo central  b2/6 (m)</t>
  </si>
  <si>
    <t xml:space="preserve">Verificação — e ≤ b2/6 (sem tração na base)?</t>
  </si>
  <si>
    <t xml:space="preserve">Tensão máxima no solo  σmáx (kPa)</t>
  </si>
  <si>
    <t xml:space="preserve">Verificação — σmáx ≤ σadm ?</t>
  </si>
  <si>
    <t xml:space="preserve">LEGENDA E OBSERVAÇÕES</t>
  </si>
  <si>
    <t xml:space="preserve">• Empuxo ativo pela teoria de Rankine (Ka = tan²(45° − φ/2)), terrapleno horizontal, sem coesão do solo.</t>
  </si>
  <si>
    <t xml:space="preserve">• Fatores de segurança mínimos usuais: FS,tombamento ≥ 1,5 e FS,deslizamento ≥ 1,5 (valores de norma/projeto podem exigir 2,0 — confira com o responsável técnico).</t>
  </si>
  <si>
    <t xml:space="preserve">• Esta planilha verifica apenas a estabilidade global (tombamento, deslizamento e tensão na base). O dimensionamento estrutural do fuste e da base à flexão (armaduras) deve ser feito à parte, como uma viga em balanço.</t>
  </si>
  <si>
    <t xml:space="preserve">• Para terrapleno inclinado, solo coesivo, nível d'água ou sobrecargas concentradas, é necessária análise geotécnica específica (NBR 6122:2019) e método de empuxo apropriado (Coulomb).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</si>
</sst>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E8F0E8"/>
      </patternFill>
    </fill>
    <fill>
      <patternFill patternType="solid">
        <fgColor rgb="FFF2F2F2"/>
        <bgColor rgb="FFE8F0E8"/>
      </patternFill>
    </fill>
    <fill>
      <patternFill patternType="solid">
        <fgColor rgb="FFE8F0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42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3</v>
      </c>
      <c r="F7" s="4" t="s">
        <v>5</v>
      </c>
      <c r="G7" s="4"/>
      <c r="H7" s="6" t="n">
        <f aca="false">D7-D8</f>
        <v>2.6</v>
      </c>
    </row>
    <row r="8" customFormat="false" ht="15" hidden="false" customHeight="false" outlineLevel="0" collapsed="false">
      <c r="B8" s="4" t="s">
        <v>6</v>
      </c>
      <c r="C8" s="4"/>
      <c r="D8" s="5" t="n">
        <v>0.4</v>
      </c>
      <c r="F8" s="4" t="s">
        <v>7</v>
      </c>
      <c r="G8" s="4"/>
      <c r="H8" s="7" t="n">
        <f aca="false">TAN(RADIANS(45-D14/2))^2</f>
        <v>0.333333333333333</v>
      </c>
    </row>
    <row r="9" customFormat="false" ht="15" hidden="false" customHeight="false" outlineLevel="0" collapsed="false">
      <c r="B9" s="4" t="s">
        <v>8</v>
      </c>
      <c r="C9" s="4"/>
      <c r="D9" s="5" t="n">
        <v>1.8</v>
      </c>
      <c r="F9" s="4" t="s">
        <v>9</v>
      </c>
      <c r="G9" s="4"/>
      <c r="H9" s="6" t="n">
        <f aca="false">0.5*H8*D15*D7^2</f>
        <v>27</v>
      </c>
    </row>
    <row r="10" customFormat="false" ht="15" hidden="false" customHeight="false" outlineLevel="0" collapsed="false">
      <c r="B10" s="4" t="s">
        <v>10</v>
      </c>
      <c r="C10" s="4"/>
      <c r="D10" s="5" t="n">
        <v>0.25</v>
      </c>
      <c r="F10" s="4" t="s">
        <v>11</v>
      </c>
      <c r="G10" s="4"/>
      <c r="H10" s="6" t="n">
        <f aca="false">H8*D16*D7</f>
        <v>0</v>
      </c>
    </row>
    <row r="11" customFormat="false" ht="15" hidden="false" customHeight="false" outlineLevel="0" collapsed="false">
      <c r="B11" s="4" t="s">
        <v>12</v>
      </c>
      <c r="C11" s="4"/>
      <c r="D11" s="5" t="n">
        <v>0.3</v>
      </c>
      <c r="F11" s="4" t="s">
        <v>13</v>
      </c>
      <c r="G11" s="4"/>
      <c r="H11" s="6" t="n">
        <f aca="false">H9*D7/3+H10*D7/2</f>
        <v>27</v>
      </c>
    </row>
    <row r="12" customFormat="false" ht="15" hidden="false" customHeight="false" outlineLevel="0" collapsed="false">
      <c r="F12" s="4" t="s">
        <v>14</v>
      </c>
      <c r="G12" s="4"/>
      <c r="H12" s="6" t="n">
        <f aca="false">D10*H7*D17</f>
        <v>16.25</v>
      </c>
    </row>
    <row r="13" customFormat="false" ht="18" hidden="false" customHeight="true" outlineLevel="0" collapsed="false">
      <c r="B13" s="3" t="s">
        <v>15</v>
      </c>
      <c r="C13" s="3"/>
      <c r="D13" s="3"/>
      <c r="F13" s="4" t="s">
        <v>16</v>
      </c>
      <c r="G13" s="4"/>
      <c r="H13" s="6" t="n">
        <f aca="false">D9*D8*D17</f>
        <v>18</v>
      </c>
    </row>
    <row r="14" customFormat="false" ht="15" hidden="false" customHeight="false" outlineLevel="0" collapsed="false">
      <c r="B14" s="4" t="s">
        <v>17</v>
      </c>
      <c r="C14" s="4"/>
      <c r="D14" s="5" t="n">
        <v>30</v>
      </c>
      <c r="F14" s="4" t="s">
        <v>18</v>
      </c>
      <c r="G14" s="4"/>
      <c r="H14" s="6" t="n">
        <f aca="false">D9-D11-D10</f>
        <v>1.25</v>
      </c>
    </row>
    <row r="15" customFormat="false" ht="15" hidden="false" customHeight="false" outlineLevel="0" collapsed="false">
      <c r="B15" s="4" t="s">
        <v>19</v>
      </c>
      <c r="C15" s="4"/>
      <c r="D15" s="5" t="n">
        <v>18</v>
      </c>
      <c r="F15" s="4" t="s">
        <v>20</v>
      </c>
      <c r="G15" s="4"/>
      <c r="H15" s="6" t="n">
        <f aca="false">H14*H7*D15</f>
        <v>58.5</v>
      </c>
    </row>
    <row r="16" customFormat="false" ht="15" hidden="false" customHeight="false" outlineLevel="0" collapsed="false">
      <c r="B16" s="4" t="s">
        <v>21</v>
      </c>
      <c r="C16" s="4"/>
      <c r="D16" s="5" t="n">
        <v>0</v>
      </c>
      <c r="F16" s="4" t="s">
        <v>22</v>
      </c>
      <c r="G16" s="4"/>
      <c r="H16" s="6" t="n">
        <f aca="false">H14*D16</f>
        <v>0</v>
      </c>
    </row>
    <row r="17" customFormat="false" ht="15" hidden="false" customHeight="false" outlineLevel="0" collapsed="false">
      <c r="B17" s="4" t="s">
        <v>23</v>
      </c>
      <c r="C17" s="4"/>
      <c r="D17" s="5" t="n">
        <v>25</v>
      </c>
      <c r="F17" s="8" t="s">
        <v>24</v>
      </c>
      <c r="G17" s="8"/>
      <c r="H17" s="6" t="n">
        <f aca="false">H12+H13+H15+H16</f>
        <v>92.75</v>
      </c>
    </row>
    <row r="18" customFormat="false" ht="15" hidden="false" customHeight="false" outlineLevel="0" collapsed="false">
      <c r="B18" s="4" t="s">
        <v>25</v>
      </c>
      <c r="C18" s="4"/>
      <c r="D18" s="5" t="n">
        <v>0.5</v>
      </c>
      <c r="F18" s="4" t="s">
        <v>26</v>
      </c>
      <c r="G18" s="4"/>
      <c r="H18" s="6" t="n">
        <f aca="false">H12*(D11+D10/2)+H13*(D9/2)+H15*(D11+D10+H14/2)+H16*(D11+D10+H14/2)</f>
        <v>91.84375</v>
      </c>
    </row>
    <row r="19" customFormat="false" ht="15" hidden="false" customHeight="false" outlineLevel="0" collapsed="false">
      <c r="B19" s="4" t="s">
        <v>27</v>
      </c>
      <c r="C19" s="4"/>
      <c r="D19" s="5" t="n">
        <v>200</v>
      </c>
      <c r="F19" s="8" t="s">
        <v>28</v>
      </c>
      <c r="G19" s="8"/>
      <c r="H19" s="9" t="n">
        <f aca="false">H18/H11</f>
        <v>3.40162037037037</v>
      </c>
    </row>
    <row r="20" customFormat="false" ht="31.5" hidden="false" customHeight="true" outlineLevel="0" collapsed="false">
      <c r="B20" s="10" t="s">
        <v>29</v>
      </c>
      <c r="C20" s="10"/>
      <c r="D20" s="10"/>
      <c r="F20" s="8" t="s">
        <v>30</v>
      </c>
      <c r="G20" s="8"/>
      <c r="H20" s="9" t="str">
        <f aca="false">IF(H19&gt;=1.5,"OK","INSUFICIENTE — AUMENTE b2")</f>
        <v>OK</v>
      </c>
    </row>
    <row r="21" customFormat="false" ht="15" hidden="false" customHeight="false" outlineLevel="0" collapsed="false">
      <c r="F21" s="8" t="s">
        <v>31</v>
      </c>
      <c r="G21" s="8"/>
      <c r="H21" s="9" t="n">
        <f aca="false">(H17*D18)/(H9+H10)</f>
        <v>1.71759259259259</v>
      </c>
    </row>
    <row r="22" customFormat="false" ht="15" hidden="false" customHeight="false" outlineLevel="0" collapsed="false">
      <c r="F22" s="8" t="s">
        <v>32</v>
      </c>
      <c r="G22" s="8"/>
      <c r="H22" s="9" t="str">
        <f aca="false">IF(H21&gt;=1.5,"OK","INSUFICIENTE — AUMENTE b2 OU μ (dente de cisalhamento)")</f>
        <v>OK</v>
      </c>
    </row>
    <row r="23" customFormat="false" ht="15" hidden="false" customHeight="false" outlineLevel="0" collapsed="false">
      <c r="F23" s="4" t="s">
        <v>33</v>
      </c>
      <c r="G23" s="4"/>
      <c r="H23" s="7" t="n">
        <f aca="false">D9/2-(H18-H11)/H17</f>
        <v>0.200876010781671</v>
      </c>
    </row>
    <row r="24" customFormat="false" ht="15" hidden="false" customHeight="false" outlineLevel="0" collapsed="false">
      <c r="F24" s="4" t="s">
        <v>34</v>
      </c>
      <c r="G24" s="4"/>
      <c r="H24" s="7" t="n">
        <f aca="false">D9/6</f>
        <v>0.3</v>
      </c>
    </row>
    <row r="25" customFormat="false" ht="15" hidden="false" customHeight="false" outlineLevel="0" collapsed="false">
      <c r="F25" s="8" t="s">
        <v>35</v>
      </c>
      <c r="G25" s="8"/>
      <c r="H25" s="9" t="str">
        <f aca="false">IF(ABS(H23)&lt;=H24,"OK","HÁ TRAÇÃO NA BASE — REDIMENSIONE")</f>
        <v>OK</v>
      </c>
    </row>
    <row r="26" customFormat="false" ht="15" hidden="false" customHeight="false" outlineLevel="0" collapsed="false">
      <c r="F26" s="4" t="s">
        <v>36</v>
      </c>
      <c r="G26" s="4"/>
      <c r="H26" s="11" t="n">
        <f aca="false">(H17/D9)*(1+6*ABS(H23)/D9)</f>
        <v>86.0300925925926</v>
      </c>
    </row>
    <row r="27" customFormat="false" ht="15" hidden="false" customHeight="false" outlineLevel="0" collapsed="false">
      <c r="F27" s="8" t="s">
        <v>37</v>
      </c>
      <c r="G27" s="8"/>
      <c r="H27" s="9" t="str">
        <f aca="false">IF(H26&lt;=D19,"OK","AUMENTE A BASE (b2)")</f>
        <v>OK</v>
      </c>
    </row>
    <row r="29" customFormat="false" ht="18" hidden="false" customHeight="true" outlineLevel="0" collapsed="false">
      <c r="B29" s="3" t="s">
        <v>38</v>
      </c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B30" s="10" t="s">
        <v>39</v>
      </c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B31" s="10" t="s">
        <v>40</v>
      </c>
      <c r="C31" s="10"/>
      <c r="D31" s="10"/>
      <c r="E31" s="10"/>
      <c r="F31" s="10"/>
      <c r="G31" s="10"/>
      <c r="H31" s="10"/>
    </row>
    <row r="32" customFormat="false" ht="15" hidden="false" customHeight="true" outlineLevel="0" collapsed="false">
      <c r="B32" s="10" t="s">
        <v>41</v>
      </c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B33" s="10" t="s">
        <v>42</v>
      </c>
      <c r="C33" s="10"/>
      <c r="D33" s="10"/>
      <c r="E33" s="10"/>
      <c r="F33" s="10"/>
      <c r="G33" s="10"/>
      <c r="H33" s="10"/>
    </row>
  </sheetData>
  <mergeCells count="43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F12:G12"/>
    <mergeCell ref="B13:D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D20"/>
    <mergeCell ref="F20:G20"/>
    <mergeCell ref="F21:G21"/>
    <mergeCell ref="F22:G22"/>
    <mergeCell ref="F23:G23"/>
    <mergeCell ref="F24:G24"/>
    <mergeCell ref="F25:G25"/>
    <mergeCell ref="F26:G26"/>
    <mergeCell ref="F27:G27"/>
    <mergeCell ref="B29:H29"/>
    <mergeCell ref="B30:H30"/>
    <mergeCell ref="B31:H31"/>
    <mergeCell ref="B32:H32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2026-08-08T14:10:28Z</dcterms:created>
  <dc:creator>openpyxl</dc:creator>
  <dc:description/>
  <dc:language>en-US</dc:language>
  <cp:lastModifiedBy/>
  <dcterms:modified xsi:type="dcterms:W3CDTF">2026-08-08T14:10:28Z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
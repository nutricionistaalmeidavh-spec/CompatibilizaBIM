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umos do Concret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<sst xmlns="http://schemas.openxmlformats.org/spreadsheetml/2006/main" count="26" uniqueCount="26">
  <si>
    <t xml:space="preserve">PLANILHA PARA CÁLCULO DE INSUMOS DO CONCRETO</t>
  </si>
  <si>
    <t xml:space="preserve">Consumo de Cimento, Areia, Brita e Água pelo Método da Massa Unitária</t>
  </si>
  <si>
    <t xml:space="preserve">DADOS DE ENTRADA</t>
  </si>
  <si>
    <t xml:space="preserve">RESULTADOS</t>
  </si>
  <si>
    <t xml:space="preserve">Volume de concreto desejado  V (m³)</t>
  </si>
  <si>
    <t xml:space="preserve">Soma de volumes absolutos (dm³/kg cimento)</t>
  </si>
  <si>
    <t xml:space="preserve">Traço unitário — Areia (partes p/ 1 de cimento)</t>
  </si>
  <si>
    <t xml:space="preserve">Consumo de cimento  C (kg/m³)</t>
  </si>
  <si>
    <t xml:space="preserve">Traço unitário — Brita (partes p/ 1 de cimento)</t>
  </si>
  <si>
    <t xml:space="preserve">Cimento total (kg)</t>
  </si>
  <si>
    <t xml:space="preserve">Relação água/cimento — a/c</t>
  </si>
  <si>
    <t xml:space="preserve">Areia total (kg)</t>
  </si>
  <si>
    <t xml:space="preserve">Massa específica real — Cimento (kg/dm³)</t>
  </si>
  <si>
    <t xml:space="preserve">Brita total (kg)</t>
  </si>
  <si>
    <t xml:space="preserve">Massa específica real — Areia (kg/dm³)</t>
  </si>
  <si>
    <t xml:space="preserve">Água total (litros)</t>
  </si>
  <si>
    <t xml:space="preserve">Massa específica real — Brita (kg/dm³)</t>
  </si>
  <si>
    <t xml:space="preserve">Cimento total (sacos de 50 kg)</t>
  </si>
  <si>
    <t xml:space="preserve">Massa específica real — Água (kg/dm³)</t>
  </si>
  <si>
    <t xml:space="preserve">Areia total (m³) — usando massa aparente ≈1,45 kg/dm³</t>
  </si>
  <si>
    <t xml:space="preserve">Traço padrão de referência (1 : 4,08 : 2,96 ; a/c=0,70) — ajuste conforme dosagem do fornecedor/laboratório para o fck desejado.</t>
  </si>
  <si>
    <t xml:space="preserve">Brita total (m³) — usando massa aparente ≈1,40 kg/dm³</t>
  </si>
  <si>
    <t xml:space="preserve">LEGENDA E OBSERVAÇÕES</t>
  </si>
  <si>
    <t xml:space="preserve">• Método da massa unitária: C = 1000 / (1/ρcimento + areia/ρareia + brita/ρbrita + a/c/ρágua), com C em kg por m³ de concreto adensado.</t>
  </si>
  <si>
    <t xml:space="preserve">• As conversões de areia e brita para m³ usam massa específica aparente (material solto, não adensado) apenas para estimativa de compra/transporte — valores típicos, confirme com o fornecedor.</t>
  </si>
  <si>
    <t xml:space="preserve">• Traço e relação a/c apenas de referência; para concreto estrutural (fck especificado), utilize dosagem experimental em laboratório (NBR 12655).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</si>
</sst>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.0000"/>
    <numFmt numFmtId="167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8"/>
      <color rgb="FF80808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1F1F"/>
        <bgColor rgb="FF333300"/>
      </patternFill>
    </fill>
    <fill>
      <patternFill patternType="solid">
        <fgColor rgb="FF2E5C8A"/>
        <bgColor rgb="FF666699"/>
      </patternFill>
    </fill>
    <fill>
      <patternFill patternType="solid">
        <fgColor rgb="FFFFFF99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D9E8D9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8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E5C8A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4" min="3" style="0" width="14"/>
    <col collapsed="false" customWidth="true" hidden="false" outlineLevel="0" max="5" min="5" style="0" width="3"/>
    <col collapsed="false" customWidth="true" hidden="false" outlineLevel="0" max="6" min="6" style="0" width="34"/>
    <col collapsed="false" customWidth="true" hidden="false" outlineLevel="0" max="8" min="7" style="0" width="14"/>
  </cols>
  <sheetData>
    <row r="2" customFormat="false" ht="21.75" hidden="false" customHeight="true" outlineLevel="0" collapsed="false">
      <c r="B2" s="1" t="s">
        <v>0</v>
      </c>
      <c r="C2" s="1"/>
      <c r="D2" s="1"/>
      <c r="E2" s="1"/>
      <c r="F2" s="1"/>
      <c r="G2" s="1"/>
      <c r="H2" s="1"/>
    </row>
    <row r="3" customFormat="false" ht="13.5" hidden="false" customHeight="true" outlineLevel="0" collapsed="false">
      <c r="B3" s="1"/>
      <c r="C3" s="1"/>
      <c r="D3" s="1"/>
      <c r="E3" s="1"/>
      <c r="F3" s="1"/>
      <c r="G3" s="1"/>
      <c r="H3" s="1"/>
    </row>
    <row r="4" customFormat="false" ht="15.75" hidden="false" customHeight="true" outlineLevel="0" collapsed="false">
      <c r="B4" s="2" t="s">
        <v>1</v>
      </c>
      <c r="C4" s="2"/>
      <c r="D4" s="2"/>
      <c r="E4" s="2"/>
      <c r="F4" s="2"/>
      <c r="G4" s="2"/>
      <c r="H4" s="2"/>
    </row>
    <row r="6" customFormat="false" ht="18" hidden="false" customHeight="true" outlineLevel="0" collapsed="false">
      <c r="B6" s="3" t="s">
        <v>2</v>
      </c>
      <c r="C6" s="3"/>
      <c r="D6" s="3"/>
      <c r="F6" s="3" t="s">
        <v>3</v>
      </c>
      <c r="G6" s="3"/>
      <c r="H6" s="3"/>
    </row>
    <row r="7" customFormat="false" ht="15" hidden="false" customHeight="false" outlineLevel="0" collapsed="false">
      <c r="B7" s="4" t="s">
        <v>4</v>
      </c>
      <c r="C7" s="4"/>
      <c r="D7" s="5" t="n">
        <v>6</v>
      </c>
      <c r="F7" s="4" t="s">
        <v>5</v>
      </c>
      <c r="G7" s="4"/>
      <c r="H7" s="6" t="n">
        <f aca="false">1/D11+D8/D12+D9/D13+D10/D14</f>
        <v>3.66694887809392</v>
      </c>
    </row>
    <row r="8" customFormat="false" ht="15" hidden="false" customHeight="false" outlineLevel="0" collapsed="false">
      <c r="B8" s="4" t="s">
        <v>6</v>
      </c>
      <c r="C8" s="4"/>
      <c r="D8" s="5" t="n">
        <v>4.08</v>
      </c>
      <c r="F8" s="4" t="s">
        <v>7</v>
      </c>
      <c r="G8" s="4"/>
      <c r="H8" s="7" t="n">
        <f aca="false">1000/H7</f>
        <v>272.706283410147</v>
      </c>
    </row>
    <row r="9" customFormat="false" ht="15" hidden="false" customHeight="false" outlineLevel="0" collapsed="false">
      <c r="B9" s="4" t="s">
        <v>8</v>
      </c>
      <c r="C9" s="4"/>
      <c r="D9" s="5" t="n">
        <v>2.96</v>
      </c>
      <c r="F9" s="8" t="s">
        <v>9</v>
      </c>
      <c r="G9" s="8"/>
      <c r="H9" s="9" t="n">
        <f aca="false">H8*D7</f>
        <v>1636.23770046088</v>
      </c>
    </row>
    <row r="10" customFormat="false" ht="15" hidden="false" customHeight="false" outlineLevel="0" collapsed="false">
      <c r="B10" s="4" t="s">
        <v>10</v>
      </c>
      <c r="C10" s="4"/>
      <c r="D10" s="5" t="n">
        <v>0.7</v>
      </c>
      <c r="F10" s="8" t="s">
        <v>11</v>
      </c>
      <c r="G10" s="8"/>
      <c r="H10" s="9" t="n">
        <f aca="false">H8*D8*D7</f>
        <v>6675.8498178804</v>
      </c>
    </row>
    <row r="11" customFormat="false" ht="15" hidden="false" customHeight="false" outlineLevel="0" collapsed="false">
      <c r="B11" s="4" t="s">
        <v>12</v>
      </c>
      <c r="C11" s="4"/>
      <c r="D11" s="5" t="n">
        <v>3</v>
      </c>
      <c r="F11" s="8" t="s">
        <v>13</v>
      </c>
      <c r="G11" s="8"/>
      <c r="H11" s="9" t="n">
        <f aca="false">H8*D9*D7</f>
        <v>4843.26359336421</v>
      </c>
    </row>
    <row r="12" customFormat="false" ht="15" hidden="false" customHeight="false" outlineLevel="0" collapsed="false">
      <c r="B12" s="4" t="s">
        <v>14</v>
      </c>
      <c r="C12" s="4"/>
      <c r="D12" s="5" t="n">
        <v>2.62</v>
      </c>
      <c r="F12" s="8" t="s">
        <v>15</v>
      </c>
      <c r="G12" s="8"/>
      <c r="H12" s="9" t="n">
        <f aca="false">H8*D10*D7</f>
        <v>1145.36639032262</v>
      </c>
    </row>
    <row r="13" customFormat="false" ht="15" hidden="false" customHeight="false" outlineLevel="0" collapsed="false">
      <c r="B13" s="4" t="s">
        <v>16</v>
      </c>
      <c r="C13" s="4"/>
      <c r="D13" s="5" t="n">
        <v>2.75</v>
      </c>
      <c r="F13" s="4" t="s">
        <v>17</v>
      </c>
      <c r="G13" s="4"/>
      <c r="H13" s="10" t="n">
        <f aca="false">ROUNDUP((H8*D7)/50,0)</f>
        <v>33</v>
      </c>
    </row>
    <row r="14" customFormat="false" ht="15" hidden="false" customHeight="false" outlineLevel="0" collapsed="false">
      <c r="B14" s="4" t="s">
        <v>18</v>
      </c>
      <c r="C14" s="4"/>
      <c r="D14" s="5" t="n">
        <v>1</v>
      </c>
      <c r="F14" s="4" t="s">
        <v>19</v>
      </c>
      <c r="G14" s="4"/>
      <c r="H14" s="7" t="n">
        <f aca="false">(H8*D8*D7)/1450</f>
        <v>4.6040343571589</v>
      </c>
    </row>
    <row r="15" customFormat="false" ht="25.5" hidden="false" customHeight="true" outlineLevel="0" collapsed="false">
      <c r="B15" s="11" t="s">
        <v>20</v>
      </c>
      <c r="C15" s="11"/>
      <c r="D15" s="11"/>
      <c r="F15" s="4" t="s">
        <v>21</v>
      </c>
      <c r="G15" s="4"/>
      <c r="H15" s="7" t="n">
        <f aca="false">(H8*D9*D7)/1400</f>
        <v>3.45947399526015</v>
      </c>
    </row>
    <row r="17" customFormat="false" ht="18" hidden="false" customHeight="true" outlineLevel="0" collapsed="false">
      <c r="B17" s="3" t="s">
        <v>22</v>
      </c>
      <c r="C17" s="3"/>
      <c r="D17" s="3"/>
      <c r="E17" s="3"/>
      <c r="F17" s="3"/>
      <c r="G17" s="3"/>
      <c r="H17" s="3"/>
    </row>
    <row r="18" customFormat="false" ht="15" hidden="false" customHeight="true" outlineLevel="0" collapsed="false">
      <c r="B18" s="11" t="s">
        <v>23</v>
      </c>
      <c r="C18" s="11"/>
      <c r="D18" s="11"/>
      <c r="E18" s="11"/>
      <c r="F18" s="11"/>
      <c r="G18" s="11"/>
      <c r="H18" s="11"/>
    </row>
    <row r="19" customFormat="false" ht="15" hidden="false" customHeight="true" outlineLevel="0" collapsed="false">
      <c r="B19" s="11" t="s">
        <v>24</v>
      </c>
      <c r="C19" s="11"/>
      <c r="D19" s="11"/>
      <c r="E19" s="11"/>
      <c r="F19" s="11"/>
      <c r="G19" s="11"/>
      <c r="H19" s="11"/>
    </row>
    <row r="20" customFormat="false" ht="15" hidden="false" customHeight="true" outlineLevel="0" collapsed="false">
      <c r="B20" s="11" t="s">
        <v>25</v>
      </c>
      <c r="C20" s="11"/>
      <c r="D20" s="11"/>
      <c r="E20" s="11"/>
      <c r="F20" s="11"/>
      <c r="G20" s="11"/>
      <c r="H20" s="11"/>
    </row>
  </sheetData>
  <mergeCells count="26">
    <mergeCell ref="B2:H3"/>
    <mergeCell ref="B4:H4"/>
    <mergeCell ref="B6:D6"/>
    <mergeCell ref="F6:H6"/>
    <mergeCell ref="B7:C7"/>
    <mergeCell ref="F7:G7"/>
    <mergeCell ref="B8:C8"/>
    <mergeCell ref="F8:G8"/>
    <mergeCell ref="B9:C9"/>
    <mergeCell ref="F9:G9"/>
    <mergeCell ref="B10:C10"/>
    <mergeCell ref="F10:G10"/>
    <mergeCell ref="B11:C11"/>
    <mergeCell ref="F11:G11"/>
    <mergeCell ref="B12:C12"/>
    <mergeCell ref="F12:G12"/>
    <mergeCell ref="B13:C13"/>
    <mergeCell ref="F13:G13"/>
    <mergeCell ref="B14:C14"/>
    <mergeCell ref="F14:G14"/>
    <mergeCell ref="B15:D15"/>
    <mergeCell ref="F15:G15"/>
    <mergeCell ref="B17:H17"/>
    <mergeCell ref="B18:H18"/>
    <mergeCell ref="B19:H19"/>
    <mergeCell ref="B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2026-08-08T14:09:31Z</dcterms:created>
  <dc:creator>openpyxl</dc:creator>
  <dc:description/>
  <dc:language>en-US</dc:language>
  <cp:lastModifiedBy/>
  <dcterms:modified xsi:type="dcterms:W3CDTF">2026-08-08T14:09:31Z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
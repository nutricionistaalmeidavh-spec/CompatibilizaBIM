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nce de Escad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<sst xmlns="http://schemas.openxmlformats.org/spreadsheetml/2006/main" count="34" uniqueCount="34">
  <si>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PLANILHA PARA CÁLCULO DE ESCADAS</t>
  </si>
  <si>
    <t xml:space="preserve">Lance de Escada em Laje Maciça — NBR 6118:2014</t>
  </si>
  <si>
    <t xml:space="preserve">DADOS DE ENTRADA</t>
  </si>
  <si>
    <t xml:space="preserve">RESULTADOS</t>
  </si>
  <si>
    <t xml:space="preserve">Vão horizontal projetado  L (m)</t>
  </si>
  <si>
    <t xml:space="preserve">Carga total de cálculo  pd (kN/m²)</t>
  </si>
  <si>
    <t xml:space="preserve">Espessura da laje da escada  e (cm)</t>
  </si>
  <si>
    <t xml:space="preserve">Momento fletor  Md (kN.m/m)</t>
  </si>
  <si>
    <t xml:space="preserve">Cobrimento até c.g. da armadura  d' (cm)</t>
  </si>
  <si>
    <t xml:space="preserve">Reação de apoio 1  P1 (kN/m)</t>
  </si>
  <si>
    <t xml:space="preserve">Carga permanente (degraus+revest.)  g (kN/m²)</t>
  </si>
  <si>
    <t xml:space="preserve">Reação de apoio 2  P2 (kN/m)</t>
  </si>
  <si>
    <t xml:space="preserve">Carga acidental  q (kN/m²)</t>
  </si>
  <si>
    <t xml:space="preserve">Altura útil  d (cm)</t>
  </si>
  <si>
    <t xml:space="preserve">Resistência do concreto  fck (MPa)</t>
  </si>
  <si>
    <t xml:space="preserve">fcd (kN/cm²)</t>
  </si>
  <si>
    <t xml:space="preserve">Resistência do aço  fyk (MPa) — CA-50/CA-60</t>
  </si>
  <si>
    <t xml:space="preserve">fyd (kN/cm²)</t>
  </si>
  <si>
    <t xml:space="preserve">Condição de apoio</t>
  </si>
  <si>
    <t xml:space="preserve">Biapoiada</t>
  </si>
  <si>
    <t xml:space="preserve">KMD</t>
  </si>
  <si>
    <t xml:space="preserve">Cálculo por faixa de 1 m de largura (projeção horizontal), tratando o lance como laje/viga de mesma espessura. Cargas já em projeção horizontal (kN/m² de piso).</t>
  </si>
  <si>
    <t xml:space="preserve">ξ = x/d</t>
  </si>
  <si>
    <t xml:space="preserve">z (cm)</t>
  </si>
  <si>
    <t xml:space="preserve">As,calc — armadura principal (cm²/m)</t>
  </si>
  <si>
    <t xml:space="preserve">ρmin (Tabela 17.3 NBR 6118)</t>
  </si>
  <si>
    <t xml:space="preserve">As,mín (cm²/m)</t>
  </si>
  <si>
    <t xml:space="preserve">As,adotada — armadura principal (cm²/m)</t>
  </si>
  <si>
    <t xml:space="preserve">Armadura de distribuição (20% da principal, cm²/m)</t>
  </si>
  <si>
    <t xml:space="preserve">LEGENDA E OBSERVAÇÕES</t>
  </si>
  <si>
    <t xml:space="preserve">• Armadura principal disposta no sentido do vão (paralela à rampa); armadura de distribuição perpendicular, com no mínimo 20% da armadura principal (mín. 0,9 cm²/m), conforme item 20.1 da NBR 6118:2014.</t>
  </si>
  <si>
    <t xml:space="preserve">• As reações P1/P2 (kN por metro de largura da escada) servem para dimensionar as vigas ou patamares de apoio.</t>
  </si>
  <si>
    <t xml:space="preserve">• Para escadas com patamar intermediário e viga de patamar, o vão deve ser tomado entre eixos dos apoios reais (considerar a inércia do patamar).</t>
  </si>
  <si>
    <t xml:space="preserve">• Cargas acidentais mínimas para escadas residenciais: 2,5 a 3,0 kN/m² (NBR 6120:2019).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</si>
</sst>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0"/>
    <numFmt numFmtId="167" formatCode="0.0000"/>
    <numFmt numFmtId="168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2E5C8A"/>
        <bgColor rgb="FF666699"/>
      </patternFill>
    </fill>
    <fill>
      <patternFill patternType="solid">
        <fgColor rgb="FFFFFF99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8D9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8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C8A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4" min="3" style="0" width="14"/>
    <col collapsed="false" customWidth="true" hidden="false" outlineLevel="0" max="5" min="5" style="0" width="3"/>
    <col collapsed="false" customWidth="true" hidden="false" outlineLevel="0" max="6" min="6" style="0" width="40"/>
    <col collapsed="false" customWidth="true" hidden="false" outlineLevel="0" max="8" min="7" style="0" width="14"/>
  </cols>
  <sheetData>
    <row r="2" customFormat="false" ht="21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3.5" hidden="false" customHeight="true" outlineLevel="0" collapsed="false">
      <c r="B3" s="1"/>
      <c r="C3" s="1"/>
      <c r="D3" s="1"/>
      <c r="E3" s="1"/>
      <c r="F3" s="1"/>
      <c r="G3" s="1"/>
      <c r="H3" s="1"/>
    </row>
    <row r="4" customFormat="false" ht="15.75" hidden="false" customHeight="true" outlineLevel="0" collapsed="false">
      <c r="B4" s="2" t="s">
        <v>1</v>
      </c>
      <c r="C4" s="2"/>
      <c r="D4" s="2"/>
      <c r="E4" s="2"/>
      <c r="F4" s="2"/>
      <c r="G4" s="2"/>
      <c r="H4" s="2"/>
    </row>
    <row r="6" customFormat="false" ht="18" hidden="false" customHeight="true" outlineLevel="0" collapsed="false">
      <c r="B6" s="3" t="s">
        <v>2</v>
      </c>
      <c r="C6" s="3"/>
      <c r="D6" s="3"/>
      <c r="F6" s="3" t="s">
        <v>3</v>
      </c>
      <c r="G6" s="3"/>
      <c r="H6" s="3"/>
    </row>
    <row r="7" customFormat="false" ht="15" hidden="false" customHeight="false" outlineLevel="0" collapsed="false">
      <c r="B7" s="4" t="s">
        <v>4</v>
      </c>
      <c r="C7" s="4"/>
      <c r="D7" s="5" t="n">
        <v>3</v>
      </c>
      <c r="F7" s="4" t="s">
        <v>5</v>
      </c>
      <c r="G7" s="4"/>
      <c r="H7" s="6" t="n">
        <f aca="false">(D10+D11)*1.4</f>
        <v>10.5</v>
      </c>
    </row>
    <row r="8" customFormat="false" ht="15" hidden="false" customHeight="false" outlineLevel="0" collapsed="false">
      <c r="B8" s="4" t="s">
        <v>6</v>
      </c>
      <c r="C8" s="4"/>
      <c r="D8" s="5" t="n">
        <v>12</v>
      </c>
      <c r="F8" s="4" t="s">
        <v>7</v>
      </c>
      <c r="G8" s="4"/>
      <c r="H8" s="6" t="n">
        <f aca="false">_xlfn.IFS(D14="Biapoiada",H7*D7^2/8,D14="Engastada-Apoiada",H7*D7^2/14.22,D14="Biengastada",H7*D7^2/24)</f>
        <v>11.8125</v>
      </c>
    </row>
    <row r="9" customFormat="false" ht="15" hidden="false" customHeight="false" outlineLevel="0" collapsed="false">
      <c r="B9" s="4" t="s">
        <v>8</v>
      </c>
      <c r="C9" s="4"/>
      <c r="D9" s="5" t="n">
        <v>2</v>
      </c>
      <c r="F9" s="4" t="s">
        <v>9</v>
      </c>
      <c r="G9" s="4"/>
      <c r="H9" s="6" t="n">
        <f aca="false">_xlfn.IFS(D14="Biapoiada",H7*D7/2,D14="Engastada-Apoiada",3/8*H7*D7,D14="Biengastada",H7*D7/2)</f>
        <v>15.75</v>
      </c>
    </row>
    <row r="10" customFormat="false" ht="15" hidden="false" customHeight="false" outlineLevel="0" collapsed="false">
      <c r="B10" s="4" t="s">
        <v>10</v>
      </c>
      <c r="C10" s="4"/>
      <c r="D10" s="5" t="n">
        <v>4.5</v>
      </c>
      <c r="F10" s="4" t="s">
        <v>11</v>
      </c>
      <c r="G10" s="4"/>
      <c r="H10" s="6" t="n">
        <f aca="false">_xlfn.IFS(D14="Biapoiada",H7*D7/2,D14="Engastada-Apoiada",5/8*H7*D7,D14="Biengastada",H7*D7/2)</f>
        <v>15.75</v>
      </c>
    </row>
    <row r="11" customFormat="false" ht="15" hidden="false" customHeight="false" outlineLevel="0" collapsed="false">
      <c r="B11" s="4" t="s">
        <v>12</v>
      </c>
      <c r="C11" s="4"/>
      <c r="D11" s="5" t="n">
        <v>3</v>
      </c>
      <c r="F11" s="4" t="s">
        <v>13</v>
      </c>
      <c r="G11" s="4"/>
      <c r="H11" s="6" t="n">
        <f aca="false">D8-D9</f>
        <v>10</v>
      </c>
    </row>
    <row r="12" customFormat="false" ht="15" hidden="false" customHeight="false" outlineLevel="0" collapsed="false">
      <c r="B12" s="4" t="s">
        <v>14</v>
      </c>
      <c r="C12" s="4"/>
      <c r="D12" s="5" t="n">
        <v>25</v>
      </c>
      <c r="F12" s="4" t="s">
        <v>15</v>
      </c>
      <c r="G12" s="4"/>
      <c r="H12" s="7" t="n">
        <f aca="false">(D12/10)/1.4</f>
        <v>1.78571428571429</v>
      </c>
    </row>
    <row r="13" customFormat="false" ht="15" hidden="false" customHeight="false" outlineLevel="0" collapsed="false">
      <c r="B13" s="4" t="s">
        <v>16</v>
      </c>
      <c r="C13" s="4"/>
      <c r="D13" s="5" t="n">
        <v>500</v>
      </c>
      <c r="F13" s="4" t="s">
        <v>17</v>
      </c>
      <c r="G13" s="4"/>
      <c r="H13" s="7" t="n">
        <f aca="false">(D13/10)/1.15</f>
        <v>43.4782608695652</v>
      </c>
    </row>
    <row r="14" customFormat="false" ht="15" hidden="false" customHeight="false" outlineLevel="0" collapsed="false">
      <c r="B14" s="4" t="s">
        <v>18</v>
      </c>
      <c r="C14" s="4"/>
      <c r="D14" s="5" t="s">
        <v>19</v>
      </c>
      <c r="F14" s="4" t="s">
        <v>20</v>
      </c>
      <c r="G14" s="4"/>
      <c r="H14" s="8" t="n">
        <f aca="false">(H8*100)/(100*H11^2*H12)</f>
        <v>0.06615</v>
      </c>
    </row>
    <row r="15" customFormat="false" ht="31.5" hidden="false" customHeight="true" outlineLevel="0" collapsed="false">
      <c r="B15" s="9" t="s">
        <v>21</v>
      </c>
      <c r="C15" s="9"/>
      <c r="D15" s="9"/>
      <c r="F15" s="4" t="s">
        <v>22</v>
      </c>
      <c r="G15" s="4"/>
      <c r="H15" s="8" t="n">
        <f aca="false">IF(0.4624-1.088*H14&lt;0,"AUMENTE e",(0.68-SQRT(0.4624-1.088*H14))/0.544)</f>
        <v>0.101391506827398</v>
      </c>
    </row>
    <row r="16" customFormat="false" ht="15" hidden="false" customHeight="false" outlineLevel="0" collapsed="false">
      <c r="F16" s="4" t="s">
        <v>23</v>
      </c>
      <c r="G16" s="4"/>
      <c r="H16" s="6" t="n">
        <f aca="false">IF(ISNUMBER(H15),H11-0.4*H15*H11,"-")</f>
        <v>9.59443397269041</v>
      </c>
    </row>
    <row r="17" customFormat="false" ht="15" hidden="false" customHeight="false" outlineLevel="0" collapsed="false">
      <c r="F17" s="4" t="s">
        <v>24</v>
      </c>
      <c r="G17" s="4"/>
      <c r="H17" s="6" t="n">
        <f aca="false">IF(ISNUMBER(H16),(H8*100)/(H13*H16),"-")</f>
        <v>2.83171994067947</v>
      </c>
    </row>
    <row r="18" customFormat="false" ht="15" hidden="false" customHeight="false" outlineLevel="0" collapsed="false">
      <c r="F18" s="4" t="s">
        <v>25</v>
      </c>
      <c r="G18" s="4"/>
      <c r="H18" s="10" t="n">
        <f aca="false">_xlfn.IFS(D12&lt;=25,0.0015,D12&lt;=30,0.00173,D12&lt;=35,0.00201,D12&lt;=40,0.0023,D12&lt;=45,0.00259,TRUE(),0.00288)</f>
        <v>0.0015</v>
      </c>
    </row>
    <row r="19" customFormat="false" ht="15" hidden="false" customHeight="false" outlineLevel="0" collapsed="false">
      <c r="F19" s="4" t="s">
        <v>26</v>
      </c>
      <c r="G19" s="4"/>
      <c r="H19" s="6" t="n">
        <f aca="false">H18*100*D8</f>
        <v>1.8</v>
      </c>
    </row>
    <row r="20" customFormat="false" ht="15" hidden="false" customHeight="false" outlineLevel="0" collapsed="false">
      <c r="F20" s="11" t="s">
        <v>27</v>
      </c>
      <c r="G20" s="11"/>
      <c r="H20" s="12" t="n">
        <f aca="false">IF(ISNUMBER(H17),MAX(H17,H19),"-")</f>
        <v>2.83171994067947</v>
      </c>
    </row>
    <row r="21" customFormat="false" ht="15" hidden="false" customHeight="false" outlineLevel="0" collapsed="false">
      <c r="F21" s="4" t="s">
        <v>28</v>
      </c>
      <c r="G21" s="4"/>
      <c r="H21" s="6" t="n">
        <f aca="false">0.2*H20</f>
        <v>0.566343988135895</v>
      </c>
    </row>
    <row r="23" customFormat="false" ht="18" hidden="false" customHeight="true" outlineLevel="0" collapsed="false">
      <c r="B23" s="3" t="s">
        <v>29</v>
      </c>
      <c r="C23" s="3"/>
      <c r="D23" s="3"/>
      <c r="E23" s="3"/>
      <c r="F23" s="3"/>
      <c r="G23" s="3"/>
      <c r="H23" s="3"/>
    </row>
    <row r="24" customFormat="false" ht="15" hidden="false" customHeight="true" outlineLevel="0" collapsed="false">
      <c r="B24" s="9" t="s">
        <v>30</v>
      </c>
      <c r="C24" s="9"/>
      <c r="D24" s="9"/>
      <c r="E24" s="9"/>
      <c r="F24" s="9"/>
      <c r="G24" s="9"/>
      <c r="H24" s="9"/>
    </row>
    <row r="25" customFormat="false" ht="15" hidden="false" customHeight="true" outlineLevel="0" collapsed="false">
      <c r="B25" s="9" t="s">
        <v>31</v>
      </c>
      <c r="C25" s="9"/>
      <c r="D25" s="9"/>
      <c r="E25" s="9"/>
      <c r="F25" s="9"/>
      <c r="G25" s="9"/>
      <c r="H25" s="9"/>
    </row>
    <row r="26" customFormat="false" ht="15" hidden="false" customHeight="true" outlineLevel="0" collapsed="false">
      <c r="B26" s="9" t="s">
        <v>32</v>
      </c>
      <c r="C26" s="9"/>
      <c r="D26" s="9"/>
      <c r="E26" s="9"/>
      <c r="F26" s="9"/>
      <c r="G26" s="9"/>
      <c r="H26" s="9"/>
    </row>
    <row r="27" customFormat="false" ht="15" hidden="false" customHeight="true" outlineLevel="0" collapsed="false">
      <c r="B27" s="9" t="s">
        <v>33</v>
      </c>
      <c r="C27" s="9"/>
      <c r="D27" s="9"/>
      <c r="E27" s="9"/>
      <c r="F27" s="9"/>
      <c r="G27" s="9"/>
      <c r="H27" s="9"/>
    </row>
  </sheetData>
  <mergeCells count="33">
    <mergeCell ref="B2:H3"/>
    <mergeCell ref="B4:H4"/>
    <mergeCell ref="B6:D6"/>
    <mergeCell ref="F6:H6"/>
    <mergeCell ref="B7:C7"/>
    <mergeCell ref="F7:G7"/>
    <mergeCell ref="B8:C8"/>
    <mergeCell ref="F8:G8"/>
    <mergeCell ref="B9:C9"/>
    <mergeCell ref="F9:G9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F14:G14"/>
    <mergeCell ref="B15:D15"/>
    <mergeCell ref="F15:G15"/>
    <mergeCell ref="F16:G16"/>
    <mergeCell ref="F17:G17"/>
    <mergeCell ref="F18:G18"/>
    <mergeCell ref="F19:G19"/>
    <mergeCell ref="F20:G20"/>
    <mergeCell ref="F21:G21"/>
    <mergeCell ref="B23:H23"/>
    <mergeCell ref="B24:H24"/>
    <mergeCell ref="B25:H25"/>
    <mergeCell ref="B26:H26"/>
    <mergeCell ref="B27:H27"/>
  </mergeCells>
  <dataValidations count="1">
    <dataValidation allowBlank="false" errorStyle="stop" operator="between" showDropDown="false" showErrorMessage="false" showInputMessage="false" sqref="D14" type="list">
      <formula1>"Biapoiada,Engastada-Apoiada,Biengastada"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2026-08-08T14:08:47Z</dcterms:created>
  <dc:creator>openpyxl</dc:creator>
  <dc:description/>
  <dc:language>en-US</dc:language>
  <cp:lastModifiedBy/>
  <dcterms:modified xsi:type="dcterms:W3CDTF">2026-08-08T14:08:47Z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
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ga Biapoiad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<sst xmlns="http://schemas.openxmlformats.org/spreadsheetml/2006/main" count="134" uniqueCount="100">
  <si>
    <t xml:space="preserve">PLANILHA PARA CÁLCULO DE VIGA BIAPOIADA</t>
  </si>
  <si>
    <t xml:space="preserve">Dimensionamento Completo — Flexão, Cisalhamento, Ancoragem e Flecha (NBR 6118:2014)</t>
  </si>
  <si>
    <t xml:space="preserve">DADOS DE ENTRADA</t>
  </si>
  <si>
    <t xml:space="preserve">Vão livre  L (m)</t>
  </si>
  <si>
    <t xml:space="preserve">Carga permanente  g (kN/m)</t>
  </si>
  <si>
    <t xml:space="preserve">Carga acidental  q (kN/m)</t>
  </si>
  <si>
    <t xml:space="preserve">Largura da viga  b (cm)</t>
  </si>
  <si>
    <t xml:space="preserve">Altura da viga  h (cm)</t>
  </si>
  <si>
    <t xml:space="preserve">Cobrimento até c.g. da armadura  c' (cm)</t>
  </si>
  <si>
    <t xml:space="preserve">Largura de apoio disponível p/ ancoragem (cm)</t>
  </si>
  <si>
    <t xml:space="preserve">Resistência do concreto  fck (MPa)</t>
  </si>
  <si>
    <t xml:space="preserve">Resistência do aço longitudinal  fyk (MPa) — CA-50</t>
  </si>
  <si>
    <t xml:space="preserve">Resistência do aço transversal  fywk (MPa) — CA-60</t>
  </si>
  <si>
    <t xml:space="preserve">Bitola longitudinal escolhida  φl (mm)</t>
  </si>
  <si>
    <t xml:space="preserve">Bitola do estribo escolhida  φt (mm)</t>
  </si>
  <si>
    <t xml:space="preserve">Nº de ramos do estribo</t>
  </si>
  <si>
    <t xml:space="preserve">Limite de flecha  L/ (ELS-DEF)</t>
  </si>
  <si>
    <t xml:space="preserve">ESFORÇOS SOLICITANTES</t>
  </si>
  <si>
    <t xml:space="preserve">Carga total de cálculo  pd = 1,4(g+q)</t>
  </si>
  <si>
    <t xml:space="preserve">kN/m</t>
  </si>
  <si>
    <t xml:space="preserve">Reação de apoio  Rd = pd·L/2</t>
  </si>
  <si>
    <t xml:space="preserve">kN</t>
  </si>
  <si>
    <t xml:space="preserve">Momento fletor máximo  Md = pd·L²/8</t>
  </si>
  <si>
    <t xml:space="preserve">kN.m</t>
  </si>
  <si>
    <t xml:space="preserve">Cortante máximo no apoio  Vd = Rd</t>
  </si>
  <si>
    <t xml:space="preserve">Altura útil  d = h − c'</t>
  </si>
  <si>
    <t xml:space="preserve">cm</t>
  </si>
  <si>
    <t xml:space="preserve">Cortante reduzido, a d do apoio  Vd,d</t>
  </si>
  <si>
    <t xml:space="preserve">ARMADURA LONGITUDINAL (FLEXÃO)</t>
  </si>
  <si>
    <t xml:space="preserve">fcd = fck/1,4</t>
  </si>
  <si>
    <t xml:space="preserve">kN/cm²</t>
  </si>
  <si>
    <t xml:space="preserve">fyd = fyk/1,15</t>
  </si>
  <si>
    <t xml:space="preserve">KMD = Md/(b·d²·fcd)</t>
  </si>
  <si>
    <t xml:space="preserve">ξ = x/d</t>
  </si>
  <si>
    <t xml:space="preserve">Verificação  ξ ≤ 0,45 (domínio 2-3, ductilidade)</t>
  </si>
  <si>
    <t xml:space="preserve">z = d − 0,4x</t>
  </si>
  <si>
    <t xml:space="preserve">As,calc = Md/(fyd·z)</t>
  </si>
  <si>
    <t xml:space="preserve">cm²</t>
  </si>
  <si>
    <t xml:space="preserve">ρmín (Tabela 17.3 NBR 6118)</t>
  </si>
  <si>
    <t xml:space="preserve">As,mín = ρmín·b·h</t>
  </si>
  <si>
    <t xml:space="preserve">As,máx = 4%·b·h (item 17.3.5.2.4)</t>
  </si>
  <si>
    <t xml:space="preserve">As,adotada</t>
  </si>
  <si>
    <t xml:space="preserve">Verificação  As,adotada ≤ As,máx ?</t>
  </si>
  <si>
    <t xml:space="preserve">Área de 1 barra longitudinal  (πφl²/4)</t>
  </si>
  <si>
    <t xml:space="preserve">Nº de barras longitudinais necessário</t>
  </si>
  <si>
    <t xml:space="preserve">ARMADURA TRANSVERSAL (ESTRIBOS) — item 17.4 NBR 6118</t>
  </si>
  <si>
    <t xml:space="preserve">αv2 = 1 − fck/250</t>
  </si>
  <si>
    <t xml:space="preserve">VRd2 = 0,27·αv2·fcd·b·d (esmagamento da biela)</t>
  </si>
  <si>
    <t xml:space="preserve">Verificação  Vd ≤ VRd2 ?</t>
  </si>
  <si>
    <t xml:space="preserve">fctm = 0,3·fck^(2/3)</t>
  </si>
  <si>
    <t xml:space="preserve">MPa</t>
  </si>
  <si>
    <t xml:space="preserve">fctd = 0,7·fctm/1,4</t>
  </si>
  <si>
    <t xml:space="preserve">Vc = 0,6·fctd·b·d</t>
  </si>
  <si>
    <t xml:space="preserve">Vsw = Vd,d − Vc (≥0)</t>
  </si>
  <si>
    <t xml:space="preserve">fywd = fywk/1,15</t>
  </si>
  <si>
    <t xml:space="preserve">(Asw/s)calc = Vsw/(0,9·d·fywd)</t>
  </si>
  <si>
    <t xml:space="preserve">cm²/cm</t>
  </si>
  <si>
    <t xml:space="preserve">ρsw,mín = 0,2·fctm/fywk</t>
  </si>
  <si>
    <t xml:space="preserve">(Asw/s)mín = ρsw,mín·b</t>
  </si>
  <si>
    <t xml:space="preserve">(Asw/s)adotada</t>
  </si>
  <si>
    <t xml:space="preserve">Área do estribo (nr ramos)  Aest = nr·πφt²/4</t>
  </si>
  <si>
    <t xml:space="preserve">Espaçamento calculado  s = Aest/(Asw/s)</t>
  </si>
  <si>
    <t xml:space="preserve">Espaçamento máximo normativo  s,máx</t>
  </si>
  <si>
    <t xml:space="preserve">Espaçamento adotado = mín(s,calc ; s,máx)</t>
  </si>
  <si>
    <t xml:space="preserve">Estribo governado por</t>
  </si>
  <si>
    <t xml:space="preserve">Verificação bitola do estribo  5mm ≤ φt ≤ b/10</t>
  </si>
  <si>
    <t xml:space="preserve">COMPRIMENTO DE ANCORAGEM — item 9.4 NBR 6118</t>
  </si>
  <si>
    <t xml:space="preserve">fbd = 2,25·fctd (aderência boa, CA-50 nervurada)</t>
  </si>
  <si>
    <t xml:space="preserve">lb = (φl/4)·(fyd/fbd)</t>
  </si>
  <si>
    <t xml:space="preserve">lb,mín = máx(0,3·lb ; 10φl ; 10cm)</t>
  </si>
  <si>
    <t xml:space="preserve">lb,nec = máx(lb·As,calc/As,adotada ; lb,mín)</t>
  </si>
  <si>
    <t xml:space="preserve">Verificação  lb,nec ≤ comprimento disponível no apoio?</t>
  </si>
  <si>
    <t xml:space="preserve">FLECHA (ESTADO LIMITE DE DEFORMAÇÃO EXCESSIVA — ELS-DEF)</t>
  </si>
  <si>
    <t xml:space="preserve">Ecs = 5600·√fck (módulo secante aprox.)</t>
  </si>
  <si>
    <t xml:space="preserve">Es (aço)</t>
  </si>
  <si>
    <t xml:space="preserve">αe = Es/Ecs</t>
  </si>
  <si>
    <t xml:space="preserve">Ic = b·h³/12 (seção bruta)</t>
  </si>
  <si>
    <t xml:space="preserve">cm⁴</t>
  </si>
  <si>
    <t xml:space="preserve">fctm (repetido)</t>
  </si>
  <si>
    <t xml:space="preserve">Mr = 1,5·(fctm/10)·(b·h²/6) / 100 — mom. fissuração</t>
  </si>
  <si>
    <t xml:space="preserve">Ma = (g+q)·L²/8 — momento de serviço</t>
  </si>
  <si>
    <t xml:space="preserve">x,II — linha neutra Estádio II</t>
  </si>
  <si>
    <t xml:space="preserve">I,II = b·x³/3 + αe·As·(d−x)²</t>
  </si>
  <si>
    <t xml:space="preserve">Ieq (Branson) = (Mr/Ma)³·Ic+[1−(Mr/Ma)³]·I,II</t>
  </si>
  <si>
    <t xml:space="preserve">Flecha imediata  fi = 5·qs·L⁴/(384·Ecs·Ieq)</t>
  </si>
  <si>
    <t xml:space="preserve">Coeficiente de fluência  αf ≈ Δξ (sem armadura de compressão)</t>
  </si>
  <si>
    <t xml:space="preserve">Flecha total  ft = fi·(1+αf)</t>
  </si>
  <si>
    <t xml:space="preserve">Flecha limite  L/{}</t>
  </si>
  <si>
    <t xml:space="preserve">Verificação  ft ≤ flimite ?</t>
  </si>
  <si>
    <t xml:space="preserve">VERIFICAÇÕES GERAIS</t>
  </si>
  <si>
    <t xml:space="preserve">lo/b (deve ser ≤ 50)</t>
  </si>
  <si>
    <t xml:space="preserve">h/b (deve ser ≤ 5)</t>
  </si>
  <si>
    <t xml:space="preserve">Verificação  instabilidade lateral (item 13.2.2)</t>
  </si>
  <si>
    <t xml:space="preserve">Largura mínima  b ≥ 12 cm (item 13.2.2)</t>
  </si>
  <si>
    <t xml:space="preserve">LEGENDA E OBSERVAÇÕES</t>
  </si>
  <si>
    <t xml:space="preserve">• Flexão: método do diagrama retangular simplificado (α_c=0,85/λ=0,80), γc=1,4, γs=1,15 (NBR 6118:2014, item 17.2).</t>
  </si>
  <si>
    <t xml:space="preserve">• Cisalhamento: modelo de treliça generalizada com ângulo de 45° (item 17.4.2.2), verificação de esmagamento da biela (VRd2) e contribuição do concreto (Vc) no modelo I.</t>
  </si>
  <si>
    <t xml:space="preserve">• Ancoragem: barras retas nervuradas CA-50, situação de boa aderência (η1=2,25); para gancho ou má aderência, os comprimentos mudam.</t>
  </si>
  <si>
    <t xml:space="preserve">• Flecha: Fórmula de Branson (rigidez equivalente), fluência simplificada com αf≈2,0 (aproximação usual quando não há armadura de compressão). Para maior precisão, considerar a evolução temporal completa do coeficiente ξ (item 17.3.2.1.2).</t>
  </si>
  <si>
    <t xml:space="preserve">• Esta planilha não substitui a responsabilidade técnica (ART/RRT) do engenheiro projetista.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</si>
</sst>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.000"/>
    <numFmt numFmtId="167" formatCode="0.0000"/>
    <numFmt numFmtId="168" formatCode="0.00%"/>
    <numFmt numFmtId="169" formatCode="0"/>
    <numFmt numFmtId="170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  <fill>
      <patternFill patternType="solid">
        <fgColor rgb="FF2E5C8A"/>
        <bgColor rgb="FF666699"/>
      </patternFill>
    </fill>
    <fill>
      <patternFill patternType="solid">
        <fgColor rgb="FFFFFF99"/>
        <bgColor rgb="FFE8F0E8"/>
      </patternFill>
    </fill>
    <fill>
      <patternFill patternType="solid">
        <fgColor rgb="FFF2F2F2"/>
        <bgColor rgb="FFE8F0E8"/>
      </patternFill>
    </fill>
    <fill>
      <patternFill patternType="solid">
        <fgColor rgb="FFE8F0E8"/>
        <bgColor rgb="FFF2F2F2"/>
      </patternFill>
    </fill>
    <fill>
      <patternFill patternType="solid">
        <fgColor rgb="FFD9E8D9"/>
        <bgColor rgb="FFE8F0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E8F0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8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C8A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6" min="3" style="0" width="4"/>
    <col collapsed="false" customWidth="true" hidden="false" outlineLevel="0" max="7" min="7" style="0" width="16"/>
    <col collapsed="false" customWidth="true" hidden="false" outlineLevel="0" max="8" min="8" style="0" width="10"/>
  </cols>
  <sheetData>
    <row r="2" customFormat="false" ht="21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3.5" hidden="false" customHeight="true" outlineLevel="0" collapsed="false">
      <c r="B3" s="1"/>
      <c r="C3" s="1"/>
      <c r="D3" s="1"/>
      <c r="E3" s="1"/>
      <c r="F3" s="1"/>
      <c r="G3" s="1"/>
      <c r="H3" s="1"/>
    </row>
    <row r="4" customFormat="false" ht="15.75" hidden="false" customHeight="true" outlineLevel="0" collapsed="false">
      <c r="B4" s="2" t="s">
        <v>1</v>
      </c>
      <c r="C4" s="2"/>
      <c r="D4" s="2"/>
      <c r="E4" s="2"/>
      <c r="F4" s="2"/>
      <c r="G4" s="2"/>
      <c r="H4" s="2"/>
    </row>
    <row r="6" customFormat="false" ht="18" hidden="false" customHeight="true" outlineLevel="0" collapsed="false">
      <c r="B6" s="3" t="s">
        <v>2</v>
      </c>
      <c r="C6" s="3"/>
      <c r="D6" s="3"/>
      <c r="E6" s="3"/>
      <c r="F6" s="3"/>
      <c r="G6" s="3"/>
      <c r="H6" s="3"/>
    </row>
    <row r="7" customFormat="false" ht="15" hidden="false" customHeight="false" outlineLevel="0" collapsed="false">
      <c r="B7" s="4" t="s">
        <v>3</v>
      </c>
      <c r="C7" s="4"/>
      <c r="D7" s="4"/>
      <c r="E7" s="4"/>
      <c r="F7" s="4"/>
      <c r="G7" s="5" t="n">
        <v>5</v>
      </c>
    </row>
    <row r="8" customFormat="false" ht="15" hidden="false" customHeight="false" outlineLevel="0" collapsed="false">
      <c r="B8" s="4" t="s">
        <v>4</v>
      </c>
      <c r="C8" s="4"/>
      <c r="D8" s="4"/>
      <c r="E8" s="4"/>
      <c r="F8" s="4"/>
      <c r="G8" s="5" t="n">
        <v>12</v>
      </c>
    </row>
    <row r="9" customFormat="false" ht="15" hidden="false" customHeight="false" outlineLevel="0" collapsed="false">
      <c r="B9" s="4" t="s">
        <v>5</v>
      </c>
      <c r="C9" s="4"/>
      <c r="D9" s="4"/>
      <c r="E9" s="4"/>
      <c r="F9" s="4"/>
      <c r="G9" s="5" t="n">
        <v>8</v>
      </c>
    </row>
    <row r="10" customFormat="false" ht="15" hidden="false" customHeight="false" outlineLevel="0" collapsed="false">
      <c r="B10" s="4" t="s">
        <v>6</v>
      </c>
      <c r="C10" s="4"/>
      <c r="D10" s="4"/>
      <c r="E10" s="4"/>
      <c r="F10" s="4"/>
      <c r="G10" s="5" t="n">
        <v>20</v>
      </c>
    </row>
    <row r="11" customFormat="false" ht="15" hidden="false" customHeight="false" outlineLevel="0" collapsed="false">
      <c r="B11" s="4" t="s">
        <v>7</v>
      </c>
      <c r="C11" s="4"/>
      <c r="D11" s="4"/>
      <c r="E11" s="4"/>
      <c r="F11" s="4"/>
      <c r="G11" s="5" t="n">
        <v>50</v>
      </c>
    </row>
    <row r="12" customFormat="false" ht="15" hidden="false" customHeight="false" outlineLevel="0" collapsed="false">
      <c r="B12" s="4" t="s">
        <v>8</v>
      </c>
      <c r="C12" s="4"/>
      <c r="D12" s="4"/>
      <c r="E12" s="4"/>
      <c r="F12" s="4"/>
      <c r="G12" s="5" t="n">
        <v>4</v>
      </c>
    </row>
    <row r="13" customFormat="false" ht="15" hidden="false" customHeight="false" outlineLevel="0" collapsed="false">
      <c r="B13" s="4" t="s">
        <v>9</v>
      </c>
      <c r="C13" s="4"/>
      <c r="D13" s="4"/>
      <c r="E13" s="4"/>
      <c r="F13" s="4"/>
      <c r="G13" s="5" t="n">
        <v>20</v>
      </c>
    </row>
    <row r="14" customFormat="false" ht="15" hidden="false" customHeight="false" outlineLevel="0" collapsed="false">
      <c r="B14" s="4" t="s">
        <v>10</v>
      </c>
      <c r="C14" s="4"/>
      <c r="D14" s="4"/>
      <c r="E14" s="4"/>
      <c r="F14" s="4"/>
      <c r="G14" s="5" t="n">
        <v>25</v>
      </c>
    </row>
    <row r="15" customFormat="false" ht="15" hidden="false" customHeight="false" outlineLevel="0" collapsed="false">
      <c r="B15" s="4" t="s">
        <v>11</v>
      </c>
      <c r="C15" s="4"/>
      <c r="D15" s="4"/>
      <c r="E15" s="4"/>
      <c r="F15" s="4"/>
      <c r="G15" s="5" t="n">
        <v>500</v>
      </c>
    </row>
    <row r="16" customFormat="false" ht="15" hidden="false" customHeight="false" outlineLevel="0" collapsed="false">
      <c r="B16" s="4" t="s">
        <v>12</v>
      </c>
      <c r="C16" s="4"/>
      <c r="D16" s="4"/>
      <c r="E16" s="4"/>
      <c r="F16" s="4"/>
      <c r="G16" s="5" t="n">
        <v>600</v>
      </c>
    </row>
    <row r="17" customFormat="false" ht="15" hidden="false" customHeight="false" outlineLevel="0" collapsed="false">
      <c r="B17" s="4" t="s">
        <v>13</v>
      </c>
      <c r="C17" s="4"/>
      <c r="D17" s="4"/>
      <c r="E17" s="4"/>
      <c r="F17" s="4"/>
      <c r="G17" s="5" t="n">
        <v>12.5</v>
      </c>
    </row>
    <row r="18" customFormat="false" ht="15" hidden="false" customHeight="false" outlineLevel="0" collapsed="false">
      <c r="B18" s="4" t="s">
        <v>14</v>
      </c>
      <c r="C18" s="4"/>
      <c r="D18" s="4"/>
      <c r="E18" s="4"/>
      <c r="F18" s="4"/>
      <c r="G18" s="5" t="n">
        <v>6.3</v>
      </c>
    </row>
    <row r="19" customFormat="false" ht="15" hidden="false" customHeight="false" outlineLevel="0" collapsed="false">
      <c r="B19" s="4" t="s">
        <v>15</v>
      </c>
      <c r="C19" s="4"/>
      <c r="D19" s="4"/>
      <c r="E19" s="4"/>
      <c r="F19" s="4"/>
      <c r="G19" s="5" t="n">
        <v>2</v>
      </c>
    </row>
    <row r="20" customFormat="false" ht="15" hidden="false" customHeight="false" outlineLevel="0" collapsed="false">
      <c r="B20" s="4" t="s">
        <v>16</v>
      </c>
      <c r="C20" s="4"/>
      <c r="D20" s="4"/>
      <c r="E20" s="4"/>
      <c r="F20" s="4"/>
      <c r="G20" s="5" t="n">
        <v>250</v>
      </c>
    </row>
    <row r="22" customFormat="false" ht="18" hidden="false" customHeight="true" outlineLevel="0" collapsed="false">
      <c r="B22" s="3" t="s">
        <v>17</v>
      </c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B23" s="4" t="s">
        <v>18</v>
      </c>
      <c r="C23" s="4"/>
      <c r="D23" s="4"/>
      <c r="E23" s="4"/>
      <c r="F23" s="4"/>
      <c r="G23" s="6" t="n">
        <f aca="false">1.4*(G8+G9)</f>
        <v>28</v>
      </c>
      <c r="H23" s="7" t="s">
        <v>19</v>
      </c>
    </row>
    <row r="24" customFormat="false" ht="15" hidden="false" customHeight="false" outlineLevel="0" collapsed="false">
      <c r="B24" s="4" t="s">
        <v>20</v>
      </c>
      <c r="C24" s="4"/>
      <c r="D24" s="4"/>
      <c r="E24" s="4"/>
      <c r="F24" s="4"/>
      <c r="G24" s="6" t="n">
        <f aca="false">G23*G7/2</f>
        <v>70</v>
      </c>
      <c r="H24" s="7" t="s">
        <v>21</v>
      </c>
    </row>
    <row r="25" customFormat="false" ht="15" hidden="false" customHeight="false" outlineLevel="0" collapsed="false">
      <c r="B25" s="4" t="s">
        <v>22</v>
      </c>
      <c r="C25" s="4"/>
      <c r="D25" s="4"/>
      <c r="E25" s="4"/>
      <c r="F25" s="4"/>
      <c r="G25" s="6" t="n">
        <f aca="false">G23*G7^2/8</f>
        <v>87.5</v>
      </c>
      <c r="H25" s="7" t="s">
        <v>23</v>
      </c>
    </row>
    <row r="26" customFormat="false" ht="15" hidden="false" customHeight="false" outlineLevel="0" collapsed="false">
      <c r="B26" s="4" t="s">
        <v>24</v>
      </c>
      <c r="C26" s="4"/>
      <c r="D26" s="4"/>
      <c r="E26" s="4"/>
      <c r="F26" s="4"/>
      <c r="G26" s="6" t="n">
        <f aca="false">G24</f>
        <v>70</v>
      </c>
      <c r="H26" s="7" t="s">
        <v>21</v>
      </c>
    </row>
    <row r="27" customFormat="false" ht="15" hidden="false" customHeight="false" outlineLevel="0" collapsed="false">
      <c r="B27" s="4" t="s">
        <v>25</v>
      </c>
      <c r="C27" s="4"/>
      <c r="D27" s="4"/>
      <c r="E27" s="4"/>
      <c r="F27" s="4"/>
      <c r="G27" s="6" t="n">
        <f aca="false">G11-G12</f>
        <v>46</v>
      </c>
      <c r="H27" s="7" t="s">
        <v>26</v>
      </c>
    </row>
    <row r="28" customFormat="false" ht="15" hidden="false" customHeight="false" outlineLevel="0" collapsed="false">
      <c r="B28" s="4" t="s">
        <v>27</v>
      </c>
      <c r="C28" s="4"/>
      <c r="D28" s="4"/>
      <c r="E28" s="4"/>
      <c r="F28" s="4"/>
      <c r="G28" s="6" t="n">
        <f aca="false">G23*(G7/2-G27/100)</f>
        <v>57.12</v>
      </c>
      <c r="H28" s="7" t="s">
        <v>21</v>
      </c>
    </row>
    <row r="30" customFormat="false" ht="18" hidden="false" customHeight="true" outlineLevel="0" collapsed="false">
      <c r="B30" s="3" t="s">
        <v>28</v>
      </c>
      <c r="C30" s="3"/>
      <c r="D30" s="3"/>
      <c r="E30" s="3"/>
      <c r="F30" s="3"/>
      <c r="G30" s="3"/>
      <c r="H30" s="3"/>
    </row>
    <row r="31" customFormat="false" ht="15" hidden="false" customHeight="false" outlineLevel="0" collapsed="false">
      <c r="B31" s="4" t="s">
        <v>29</v>
      </c>
      <c r="C31" s="4"/>
      <c r="D31" s="4"/>
      <c r="E31" s="4"/>
      <c r="F31" s="4"/>
      <c r="G31" s="8" t="n">
        <f aca="false">(G14/10)/1.4</f>
        <v>1.78571428571429</v>
      </c>
      <c r="H31" s="7" t="s">
        <v>30</v>
      </c>
    </row>
    <row r="32" customFormat="false" ht="15" hidden="false" customHeight="false" outlineLevel="0" collapsed="false">
      <c r="B32" s="4" t="s">
        <v>31</v>
      </c>
      <c r="C32" s="4"/>
      <c r="D32" s="4"/>
      <c r="E32" s="4"/>
      <c r="F32" s="4"/>
      <c r="G32" s="8" t="n">
        <f aca="false">(G15/10)/1.15</f>
        <v>43.4782608695652</v>
      </c>
      <c r="H32" s="7" t="s">
        <v>30</v>
      </c>
    </row>
    <row r="33" customFormat="false" ht="15" hidden="false" customHeight="false" outlineLevel="0" collapsed="false">
      <c r="B33" s="4" t="s">
        <v>32</v>
      </c>
      <c r="C33" s="4"/>
      <c r="D33" s="4"/>
      <c r="E33" s="4"/>
      <c r="F33" s="4"/>
      <c r="G33" s="9" t="n">
        <f aca="false">(G25*100)/(G10*G27^2*G31)</f>
        <v>0.11578449905482</v>
      </c>
      <c r="H33" s="7"/>
    </row>
    <row r="34" customFormat="false" ht="15" hidden="false" customHeight="false" outlineLevel="0" collapsed="false">
      <c r="B34" s="4" t="s">
        <v>33</v>
      </c>
      <c r="C34" s="4"/>
      <c r="D34" s="4"/>
      <c r="E34" s="4"/>
      <c r="F34" s="4"/>
      <c r="G34" s="9" t="n">
        <f aca="false">IF(0.4624-1.088*G33&lt;0,"AUMENTE A SEÇÃO",(0.68-SQRT(0.4624-1.088*G33))/0.544)</f>
        <v>0.183781591487281</v>
      </c>
      <c r="H34" s="7"/>
    </row>
    <row r="35" customFormat="false" ht="15" hidden="false" customHeight="false" outlineLevel="0" collapsed="false">
      <c r="B35" s="10" t="s">
        <v>34</v>
      </c>
      <c r="C35" s="10"/>
      <c r="D35" s="10"/>
      <c r="E35" s="10"/>
      <c r="F35" s="10"/>
      <c r="G35" s="11" t="str">
        <f aca="false">IF(NOT(ISNUMBER(G34)),"REDIMENSIONAR",IF(G34&lt;=0.45,"OK","ARMADURA DUPLA"))</f>
        <v>OK</v>
      </c>
      <c r="H35" s="7"/>
    </row>
    <row r="36" customFormat="false" ht="15" hidden="false" customHeight="false" outlineLevel="0" collapsed="false">
      <c r="B36" s="4" t="s">
        <v>35</v>
      </c>
      <c r="C36" s="4"/>
      <c r="D36" s="4"/>
      <c r="E36" s="4"/>
      <c r="F36" s="4"/>
      <c r="G36" s="6" t="n">
        <f aca="false">IF(ISNUMBER(G34),G27-0.4*G34*G27,"-")</f>
        <v>42.618418716634</v>
      </c>
      <c r="H36" s="7" t="s">
        <v>26</v>
      </c>
    </row>
    <row r="37" customFormat="false" ht="15" hidden="false" customHeight="false" outlineLevel="0" collapsed="false">
      <c r="B37" s="4" t="s">
        <v>36</v>
      </c>
      <c r="C37" s="4"/>
      <c r="D37" s="4"/>
      <c r="E37" s="4"/>
      <c r="F37" s="4"/>
      <c r="G37" s="6" t="n">
        <f aca="false">IF(ISNUMBER(G36),(G25*100)/(G32*G36),"-")</f>
        <v>4.72213672070034</v>
      </c>
      <c r="H37" s="7" t="s">
        <v>37</v>
      </c>
    </row>
    <row r="38" customFormat="false" ht="15" hidden="false" customHeight="false" outlineLevel="0" collapsed="false">
      <c r="B38" s="4" t="s">
        <v>38</v>
      </c>
      <c r="C38" s="4"/>
      <c r="D38" s="4"/>
      <c r="E38" s="4"/>
      <c r="F38" s="4"/>
      <c r="G38" s="12" t="n">
        <f aca="false">_xlfn.IFS(G14&lt;=25,0.0015,G14&lt;=30,0.00173,G14&lt;=35,0.00201,G14&lt;=40,0.0023,G14&lt;=45,0.00259,TRUE(),0.00288)</f>
        <v>0.0015</v>
      </c>
      <c r="H38" s="7"/>
    </row>
    <row r="39" customFormat="false" ht="15" hidden="false" customHeight="false" outlineLevel="0" collapsed="false">
      <c r="B39" s="4" t="s">
        <v>39</v>
      </c>
      <c r="C39" s="4"/>
      <c r="D39" s="4"/>
      <c r="E39" s="4"/>
      <c r="F39" s="4"/>
      <c r="G39" s="6" t="n">
        <f aca="false">G38*G10*G11</f>
        <v>1.5</v>
      </c>
      <c r="H39" s="7" t="s">
        <v>37</v>
      </c>
    </row>
    <row r="40" customFormat="false" ht="15" hidden="false" customHeight="false" outlineLevel="0" collapsed="false">
      <c r="B40" s="4" t="s">
        <v>40</v>
      </c>
      <c r="C40" s="4"/>
      <c r="D40" s="4"/>
      <c r="E40" s="4"/>
      <c r="F40" s="4"/>
      <c r="G40" s="6" t="n">
        <f aca="false">0.04*G10*G11</f>
        <v>40</v>
      </c>
      <c r="H40" s="7" t="s">
        <v>37</v>
      </c>
    </row>
    <row r="41" customFormat="false" ht="15" hidden="false" customHeight="false" outlineLevel="0" collapsed="false">
      <c r="B41" s="10" t="s">
        <v>41</v>
      </c>
      <c r="C41" s="10"/>
      <c r="D41" s="10"/>
      <c r="E41" s="10"/>
      <c r="F41" s="10"/>
      <c r="G41" s="13" t="n">
        <f aca="false">IF(ISNUMBER(G37),MAX(G37,G39),"-")</f>
        <v>4.72213672070034</v>
      </c>
      <c r="H41" s="7" t="s">
        <v>37</v>
      </c>
    </row>
    <row r="42" customFormat="false" ht="15" hidden="false" customHeight="false" outlineLevel="0" collapsed="false">
      <c r="B42" s="10" t="s">
        <v>42</v>
      </c>
      <c r="C42" s="10"/>
      <c r="D42" s="10"/>
      <c r="E42" s="10"/>
      <c r="F42" s="10"/>
      <c r="G42" s="11" t="str">
        <f aca="false">IF(G41&lt;=G40,"OK","SEÇÃO INSUFICIENTE")</f>
        <v>OK</v>
      </c>
      <c r="H42" s="7"/>
    </row>
    <row r="43" customFormat="false" ht="15" hidden="false" customHeight="false" outlineLevel="0" collapsed="false">
      <c r="B43" s="4" t="s">
        <v>43</v>
      </c>
      <c r="C43" s="4"/>
      <c r="D43" s="4"/>
      <c r="E43" s="4"/>
      <c r="F43" s="4"/>
      <c r="G43" s="6" t="n">
        <f aca="false">PI()*(G17/10)^2/4</f>
        <v>1.22718463030851</v>
      </c>
      <c r="H43" s="7" t="s">
        <v>37</v>
      </c>
    </row>
    <row r="44" customFormat="false" ht="15" hidden="false" customHeight="false" outlineLevel="0" collapsed="false">
      <c r="B44" s="10" t="s">
        <v>44</v>
      </c>
      <c r="C44" s="10"/>
      <c r="D44" s="10"/>
      <c r="E44" s="10"/>
      <c r="F44" s="10"/>
      <c r="G44" s="14" t="n">
        <f aca="false">ROUNDUP(G41/G43,0)</f>
        <v>4</v>
      </c>
      <c r="H44" s="7"/>
    </row>
    <row r="46" customFormat="false" ht="18" hidden="false" customHeight="true" outlineLevel="0" collapsed="false">
      <c r="B46" s="3" t="s">
        <v>45</v>
      </c>
      <c r="C46" s="3"/>
      <c r="D46" s="3"/>
      <c r="E46" s="3"/>
      <c r="F46" s="3"/>
      <c r="G46" s="3"/>
      <c r="H46" s="3"/>
    </row>
    <row r="47" customFormat="false" ht="15" hidden="false" customHeight="false" outlineLevel="0" collapsed="false">
      <c r="B47" s="4" t="s">
        <v>46</v>
      </c>
      <c r="C47" s="4"/>
      <c r="D47" s="4"/>
      <c r="E47" s="4"/>
      <c r="F47" s="4"/>
      <c r="G47" s="8" t="n">
        <f aca="false">1-G14/250</f>
        <v>0.9</v>
      </c>
      <c r="H47" s="7"/>
    </row>
    <row r="48" customFormat="false" ht="15" hidden="false" customHeight="false" outlineLevel="0" collapsed="false">
      <c r="B48" s="4" t="s">
        <v>47</v>
      </c>
      <c r="C48" s="4"/>
      <c r="D48" s="4"/>
      <c r="E48" s="4"/>
      <c r="F48" s="4"/>
      <c r="G48" s="6" t="n">
        <f aca="false">0.27*G47*G31*G10*G27</f>
        <v>399.214285714286</v>
      </c>
      <c r="H48" s="7" t="s">
        <v>21</v>
      </c>
    </row>
    <row r="49" customFormat="false" ht="15" hidden="false" customHeight="false" outlineLevel="0" collapsed="false">
      <c r="B49" s="10" t="s">
        <v>48</v>
      </c>
      <c r="C49" s="10"/>
      <c r="D49" s="10"/>
      <c r="E49" s="10"/>
      <c r="F49" s="10"/>
      <c r="G49" s="11" t="str">
        <f aca="false">IF(G26&lt;=G48,"OK","AUMENTE A SEÇÃO (esmagamento da biela)")</f>
        <v>OK</v>
      </c>
      <c r="H49" s="7"/>
    </row>
    <row r="50" customFormat="false" ht="15" hidden="false" customHeight="false" outlineLevel="0" collapsed="false">
      <c r="B50" s="4" t="s">
        <v>49</v>
      </c>
      <c r="C50" s="4"/>
      <c r="D50" s="4"/>
      <c r="E50" s="4"/>
      <c r="F50" s="4"/>
      <c r="G50" s="6" t="n">
        <f aca="false">0.3*G14^(2/3)</f>
        <v>2.56496392001505</v>
      </c>
      <c r="H50" s="7" t="s">
        <v>50</v>
      </c>
    </row>
    <row r="51" customFormat="false" ht="15" hidden="false" customHeight="false" outlineLevel="0" collapsed="false">
      <c r="B51" s="4" t="s">
        <v>51</v>
      </c>
      <c r="C51" s="4"/>
      <c r="D51" s="4"/>
      <c r="E51" s="4"/>
      <c r="F51" s="4"/>
      <c r="G51" s="6" t="n">
        <f aca="false">0.7*G50/1.4</f>
        <v>1.28248196000752</v>
      </c>
      <c r="H51" s="7" t="s">
        <v>50</v>
      </c>
    </row>
    <row r="52" customFormat="false" ht="15" hidden="false" customHeight="false" outlineLevel="0" collapsed="false">
      <c r="B52" s="4" t="s">
        <v>52</v>
      </c>
      <c r="C52" s="4"/>
      <c r="D52" s="4"/>
      <c r="E52" s="4"/>
      <c r="F52" s="4"/>
      <c r="G52" s="6" t="n">
        <f aca="false">0.6*(G51/10)*G10*G27</f>
        <v>70.7930041924153</v>
      </c>
      <c r="H52" s="7" t="s">
        <v>21</v>
      </c>
    </row>
    <row r="53" customFormat="false" ht="15" hidden="false" customHeight="false" outlineLevel="0" collapsed="false">
      <c r="B53" s="4" t="s">
        <v>53</v>
      </c>
      <c r="C53" s="4"/>
      <c r="D53" s="4"/>
      <c r="E53" s="4"/>
      <c r="F53" s="4"/>
      <c r="G53" s="6" t="n">
        <f aca="false">MAX(G28-G52,0)</f>
        <v>0</v>
      </c>
      <c r="H53" s="7" t="s">
        <v>21</v>
      </c>
    </row>
    <row r="54" customFormat="false" ht="15" hidden="false" customHeight="false" outlineLevel="0" collapsed="false">
      <c r="B54" s="4" t="s">
        <v>54</v>
      </c>
      <c r="C54" s="4"/>
      <c r="D54" s="4"/>
      <c r="E54" s="4"/>
      <c r="F54" s="4"/>
      <c r="G54" s="8" t="n">
        <f aca="false">(G16/10)/1.15</f>
        <v>52.1739130434783</v>
      </c>
      <c r="H54" s="7" t="s">
        <v>30</v>
      </c>
    </row>
    <row r="55" customFormat="false" ht="15" hidden="false" customHeight="false" outlineLevel="0" collapsed="false">
      <c r="B55" s="4" t="s">
        <v>55</v>
      </c>
      <c r="C55" s="4"/>
      <c r="D55" s="4"/>
      <c r="E55" s="4"/>
      <c r="F55" s="4"/>
      <c r="G55" s="9" t="n">
        <f aca="false">G53/(0.9*G27*G54)</f>
        <v>0</v>
      </c>
      <c r="H55" s="7" t="s">
        <v>56</v>
      </c>
    </row>
    <row r="56" customFormat="false" ht="15" hidden="false" customHeight="false" outlineLevel="0" collapsed="false">
      <c r="B56" s="4" t="s">
        <v>57</v>
      </c>
      <c r="C56" s="4"/>
      <c r="D56" s="4"/>
      <c r="E56" s="4"/>
      <c r="F56" s="4"/>
      <c r="G56" s="9" t="n">
        <f aca="false">0.2*G50/G16</f>
        <v>0.000854987973338349</v>
      </c>
      <c r="H56" s="7"/>
    </row>
    <row r="57" customFormat="false" ht="15" hidden="false" customHeight="false" outlineLevel="0" collapsed="false">
      <c r="B57" s="4" t="s">
        <v>58</v>
      </c>
      <c r="C57" s="4"/>
      <c r="D57" s="4"/>
      <c r="E57" s="4"/>
      <c r="F57" s="4"/>
      <c r="G57" s="9" t="n">
        <f aca="false">G56*G10</f>
        <v>0.017099759466767</v>
      </c>
      <c r="H57" s="7" t="s">
        <v>56</v>
      </c>
    </row>
    <row r="58" customFormat="false" ht="15" hidden="false" customHeight="false" outlineLevel="0" collapsed="false">
      <c r="B58" s="10" t="s">
        <v>59</v>
      </c>
      <c r="C58" s="10"/>
      <c r="D58" s="10"/>
      <c r="E58" s="10"/>
      <c r="F58" s="10"/>
      <c r="G58" s="15" t="n">
        <f aca="false">MAX(G55,G57)</f>
        <v>0.017099759466767</v>
      </c>
      <c r="H58" s="7" t="s">
        <v>56</v>
      </c>
    </row>
    <row r="59" customFormat="false" ht="15" hidden="false" customHeight="false" outlineLevel="0" collapsed="false">
      <c r="B59" s="4" t="s">
        <v>60</v>
      </c>
      <c r="C59" s="4"/>
      <c r="D59" s="4"/>
      <c r="E59" s="4"/>
      <c r="F59" s="4"/>
      <c r="G59" s="6" t="n">
        <f aca="false">G19*PI()*(G18/10)^2/4</f>
        <v>0.623449062104895</v>
      </c>
      <c r="H59" s="7" t="s">
        <v>37</v>
      </c>
    </row>
    <row r="60" customFormat="false" ht="15" hidden="false" customHeight="false" outlineLevel="0" collapsed="false">
      <c r="B60" s="4" t="s">
        <v>61</v>
      </c>
      <c r="C60" s="4"/>
      <c r="D60" s="4"/>
      <c r="E60" s="4"/>
      <c r="F60" s="4"/>
      <c r="G60" s="16" t="n">
        <f aca="false">G59/G58</f>
        <v>36.4595223293377</v>
      </c>
      <c r="H60" s="7" t="s">
        <v>26</v>
      </c>
    </row>
    <row r="61" customFormat="false" ht="15" hidden="false" customHeight="false" outlineLevel="0" collapsed="false">
      <c r="B61" s="4" t="s">
        <v>62</v>
      </c>
      <c r="C61" s="4"/>
      <c r="D61" s="4"/>
      <c r="E61" s="4"/>
      <c r="F61" s="4"/>
      <c r="G61" s="16" t="n">
        <f aca="false">IF(G26&lt;=0.67*G48,MIN(0.6*G27,30),MIN(0.3*G27,20))</f>
        <v>27.6</v>
      </c>
      <c r="H61" s="7" t="s">
        <v>26</v>
      </c>
    </row>
    <row r="62" customFormat="false" ht="15" hidden="false" customHeight="false" outlineLevel="0" collapsed="false">
      <c r="B62" s="10" t="s">
        <v>63</v>
      </c>
      <c r="C62" s="10"/>
      <c r="D62" s="10"/>
      <c r="E62" s="10"/>
      <c r="F62" s="10"/>
      <c r="G62" s="17" t="n">
        <f aca="false">MIN(G60,G61)</f>
        <v>27.6</v>
      </c>
      <c r="H62" s="7" t="s">
        <v>26</v>
      </c>
    </row>
    <row r="63" customFormat="false" ht="35.05" hidden="false" customHeight="false" outlineLevel="0" collapsed="false">
      <c r="B63" s="10" t="s">
        <v>64</v>
      </c>
      <c r="C63" s="10"/>
      <c r="D63" s="10"/>
      <c r="E63" s="10"/>
      <c r="F63" s="10"/>
      <c r="G63" s="11" t="str">
        <f aca="false">IF(G60&lt;=G61,"Vsw calculado (cisalhamento)","Asw,mín / s,máx normativo — situação normal")</f>
        <v>Asw,mín / s,máx normativo — situação normal</v>
      </c>
      <c r="H63" s="7"/>
    </row>
    <row r="64" customFormat="false" ht="15" hidden="false" customHeight="false" outlineLevel="0" collapsed="false">
      <c r="B64" s="10" t="s">
        <v>65</v>
      </c>
      <c r="C64" s="10"/>
      <c r="D64" s="10"/>
      <c r="E64" s="10"/>
      <c r="F64" s="10"/>
      <c r="G64" s="11" t="str">
        <f aca="false">IF(AND(G18&gt;=5,G18&lt;=G10),"OK","AJUSTE A BITOLA DO ESTRIBO")</f>
        <v>OK</v>
      </c>
      <c r="H64" s="7"/>
    </row>
    <row r="66" customFormat="false" ht="18" hidden="false" customHeight="true" outlineLevel="0" collapsed="false">
      <c r="B66" s="3" t="s">
        <v>66</v>
      </c>
      <c r="C66" s="3"/>
      <c r="D66" s="3"/>
      <c r="E66" s="3"/>
      <c r="F66" s="3"/>
      <c r="G66" s="3"/>
      <c r="H66" s="3"/>
    </row>
    <row r="67" customFormat="false" ht="15" hidden="false" customHeight="false" outlineLevel="0" collapsed="false">
      <c r="B67" s="4" t="s">
        <v>67</v>
      </c>
      <c r="C67" s="4"/>
      <c r="D67" s="4"/>
      <c r="E67" s="4"/>
      <c r="F67" s="4"/>
      <c r="G67" s="6" t="n">
        <f aca="false">2.25*G51</f>
        <v>2.88558441001693</v>
      </c>
      <c r="H67" s="7" t="s">
        <v>50</v>
      </c>
    </row>
    <row r="68" customFormat="false" ht="15" hidden="false" customHeight="false" outlineLevel="0" collapsed="false">
      <c r="B68" s="4" t="s">
        <v>68</v>
      </c>
      <c r="C68" s="4"/>
      <c r="D68" s="4"/>
      <c r="E68" s="4"/>
      <c r="F68" s="4"/>
      <c r="G68" s="6" t="n">
        <f aca="false">(G17/10/4)*((G32*10)/G67)</f>
        <v>47.0856318552797</v>
      </c>
      <c r="H68" s="7" t="s">
        <v>26</v>
      </c>
    </row>
    <row r="69" customFormat="false" ht="15" hidden="false" customHeight="false" outlineLevel="0" collapsed="false">
      <c r="B69" s="4" t="s">
        <v>69</v>
      </c>
      <c r="C69" s="4"/>
      <c r="D69" s="4"/>
      <c r="E69" s="4"/>
      <c r="F69" s="4"/>
      <c r="G69" s="6" t="n">
        <f aca="false">MAX(0.3*G68,10*G17/10,10)</f>
        <v>14.1256895565839</v>
      </c>
      <c r="H69" s="7" t="s">
        <v>26</v>
      </c>
    </row>
    <row r="70" customFormat="false" ht="15" hidden="false" customHeight="false" outlineLevel="0" collapsed="false">
      <c r="B70" s="4" t="s">
        <v>70</v>
      </c>
      <c r="C70" s="4"/>
      <c r="D70" s="4"/>
      <c r="E70" s="4"/>
      <c r="F70" s="4"/>
      <c r="G70" s="6" t="n">
        <f aca="false">MAX(G68*G37/G41,G69)</f>
        <v>47.0856318552797</v>
      </c>
      <c r="H70" s="7" t="s">
        <v>26</v>
      </c>
    </row>
    <row r="71" customFormat="false" ht="46.25" hidden="false" customHeight="false" outlineLevel="0" collapsed="false">
      <c r="B71" s="10" t="s">
        <v>71</v>
      </c>
      <c r="C71" s="10"/>
      <c r="D71" s="10"/>
      <c r="E71" s="10"/>
      <c r="F71" s="10"/>
      <c r="G71" s="11" t="str">
        <f aca="false">IF(G70&lt;=G13,"OK","INSUFICIENTE — use gancho ou grampos adicionais")</f>
        <v>INSUFICIENTE — use gancho ou grampos adicionais</v>
      </c>
      <c r="H71" s="7"/>
    </row>
    <row r="73" customFormat="false" ht="18" hidden="false" customHeight="true" outlineLevel="0" collapsed="false">
      <c r="B73" s="3" t="s">
        <v>72</v>
      </c>
      <c r="C73" s="3"/>
      <c r="D73" s="3"/>
      <c r="E73" s="3"/>
      <c r="F73" s="3"/>
      <c r="G73" s="3"/>
      <c r="H73" s="3"/>
    </row>
    <row r="74" customFormat="false" ht="15" hidden="false" customHeight="false" outlineLevel="0" collapsed="false">
      <c r="B74" s="4" t="s">
        <v>73</v>
      </c>
      <c r="C74" s="4"/>
      <c r="D74" s="4"/>
      <c r="E74" s="4"/>
      <c r="F74" s="4"/>
      <c r="G74" s="16" t="n">
        <f aca="false">5600*SQRT(G14)</f>
        <v>28000</v>
      </c>
      <c r="H74" s="7" t="s">
        <v>50</v>
      </c>
    </row>
    <row r="75" customFormat="false" ht="15" hidden="false" customHeight="false" outlineLevel="0" collapsed="false">
      <c r="B75" s="4" t="s">
        <v>74</v>
      </c>
      <c r="C75" s="4"/>
      <c r="D75" s="4"/>
      <c r="E75" s="4"/>
      <c r="F75" s="4"/>
      <c r="G75" s="18" t="n">
        <v>210000</v>
      </c>
      <c r="H75" s="7" t="s">
        <v>50</v>
      </c>
    </row>
    <row r="76" customFormat="false" ht="15" hidden="false" customHeight="false" outlineLevel="0" collapsed="false">
      <c r="B76" s="4" t="s">
        <v>75</v>
      </c>
      <c r="C76" s="4"/>
      <c r="D76" s="4"/>
      <c r="E76" s="4"/>
      <c r="F76" s="4"/>
      <c r="G76" s="6" t="n">
        <f aca="false">G75/G74</f>
        <v>7.5</v>
      </c>
      <c r="H76" s="7"/>
    </row>
    <row r="77" customFormat="false" ht="15" hidden="false" customHeight="false" outlineLevel="0" collapsed="false">
      <c r="B77" s="4" t="s">
        <v>76</v>
      </c>
      <c r="C77" s="4"/>
      <c r="D77" s="4"/>
      <c r="E77" s="4"/>
      <c r="F77" s="4"/>
      <c r="G77" s="18" t="n">
        <f aca="false">G10*G11^3/12</f>
        <v>208333.333333333</v>
      </c>
      <c r="H77" s="7" t="s">
        <v>77</v>
      </c>
    </row>
    <row r="78" customFormat="false" ht="15" hidden="false" customHeight="false" outlineLevel="0" collapsed="false">
      <c r="B78" s="4" t="s">
        <v>78</v>
      </c>
      <c r="C78" s="4"/>
      <c r="D78" s="4"/>
      <c r="E78" s="4"/>
      <c r="F78" s="4"/>
      <c r="G78" s="6" t="n">
        <f aca="false">G50</f>
        <v>2.56496392001505</v>
      </c>
      <c r="H78" s="7" t="s">
        <v>50</v>
      </c>
    </row>
    <row r="79" customFormat="false" ht="15" hidden="false" customHeight="false" outlineLevel="0" collapsed="false">
      <c r="B79" s="4" t="s">
        <v>79</v>
      </c>
      <c r="C79" s="4"/>
      <c r="D79" s="4"/>
      <c r="E79" s="4"/>
      <c r="F79" s="4"/>
      <c r="G79" s="6" t="n">
        <f aca="false">1.5*(G78/10)*(G10*G11^2/6)/100</f>
        <v>32.0620490001881</v>
      </c>
      <c r="H79" s="7" t="s">
        <v>23</v>
      </c>
    </row>
    <row r="80" customFormat="false" ht="15" hidden="false" customHeight="false" outlineLevel="0" collapsed="false">
      <c r="B80" s="4" t="s">
        <v>80</v>
      </c>
      <c r="C80" s="4"/>
      <c r="D80" s="4"/>
      <c r="E80" s="4"/>
      <c r="F80" s="4"/>
      <c r="G80" s="6" t="n">
        <f aca="false">(G8+G9)*G7^2/8</f>
        <v>62.5</v>
      </c>
      <c r="H80" s="7" t="s">
        <v>23</v>
      </c>
    </row>
    <row r="81" customFormat="false" ht="15" hidden="false" customHeight="false" outlineLevel="0" collapsed="false">
      <c r="B81" s="4" t="s">
        <v>81</v>
      </c>
      <c r="C81" s="4"/>
      <c r="D81" s="4"/>
      <c r="E81" s="4"/>
      <c r="F81" s="4"/>
      <c r="G81" s="6" t="n">
        <f aca="false">(-G76*G41+SQRT((G76*G41)^2+2*G10*G76*G41*G27))/G10</f>
        <v>11.1152165010632</v>
      </c>
      <c r="H81" s="7" t="s">
        <v>26</v>
      </c>
    </row>
    <row r="82" customFormat="false" ht="15" hidden="false" customHeight="false" outlineLevel="0" collapsed="false">
      <c r="B82" s="4" t="s">
        <v>82</v>
      </c>
      <c r="C82" s="4"/>
      <c r="D82" s="4"/>
      <c r="E82" s="4"/>
      <c r="F82" s="4"/>
      <c r="G82" s="18" t="n">
        <f aca="false">G10*G81^3/3+G76*G41*(G27-G81)^2</f>
        <v>52254.5534542781</v>
      </c>
      <c r="H82" s="7" t="s">
        <v>77</v>
      </c>
    </row>
    <row r="83" customFormat="false" ht="15" hidden="false" customHeight="false" outlineLevel="0" collapsed="false">
      <c r="B83" s="4" t="s">
        <v>83</v>
      </c>
      <c r="C83" s="4"/>
      <c r="D83" s="4"/>
      <c r="E83" s="4"/>
      <c r="F83" s="4"/>
      <c r="G83" s="18" t="n">
        <f aca="false">IF(G80&lt;=G79,G77,MIN(G77,(G79/G80)^3*G77+(1-(G79/G80)^3)*G82))</f>
        <v>73325.1887379505</v>
      </c>
      <c r="H83" s="7" t="s">
        <v>77</v>
      </c>
    </row>
    <row r="84" customFormat="false" ht="15" hidden="false" customHeight="false" outlineLevel="0" collapsed="false">
      <c r="B84" s="4" t="s">
        <v>84</v>
      </c>
      <c r="C84" s="4"/>
      <c r="D84" s="4"/>
      <c r="E84" s="4"/>
      <c r="F84" s="4"/>
      <c r="G84" s="6" t="n">
        <f aca="false">5*((G8+G9)/100)*(G7*100)^4/(384*(G74/10)*G83)</f>
        <v>0.792752412078141</v>
      </c>
      <c r="H84" s="7" t="s">
        <v>26</v>
      </c>
    </row>
    <row r="85" customFormat="false" ht="15" hidden="false" customHeight="false" outlineLevel="0" collapsed="false">
      <c r="B85" s="4" t="s">
        <v>85</v>
      </c>
      <c r="C85" s="4"/>
      <c r="D85" s="4"/>
      <c r="E85" s="4"/>
      <c r="F85" s="4"/>
      <c r="G85" s="6" t="n">
        <v>2</v>
      </c>
      <c r="H85" s="7"/>
    </row>
    <row r="86" customFormat="false" ht="15" hidden="false" customHeight="false" outlineLevel="0" collapsed="false">
      <c r="B86" s="4" t="s">
        <v>86</v>
      </c>
      <c r="C86" s="4"/>
      <c r="D86" s="4"/>
      <c r="E86" s="4"/>
      <c r="F86" s="4"/>
      <c r="G86" s="6" t="n">
        <f aca="false">G84*(1+G85)</f>
        <v>2.37825723623442</v>
      </c>
      <c r="H86" s="7" t="s">
        <v>26</v>
      </c>
    </row>
    <row r="87" customFormat="false" ht="15" hidden="false" customHeight="false" outlineLevel="0" collapsed="false">
      <c r="B87" s="4" t="s">
        <v>87</v>
      </c>
      <c r="C87" s="4"/>
      <c r="D87" s="4"/>
      <c r="E87" s="4"/>
      <c r="F87" s="4"/>
      <c r="G87" s="6" t="n">
        <f aca="false">(G7*100)/G20</f>
        <v>2</v>
      </c>
      <c r="H87" s="7" t="s">
        <v>26</v>
      </c>
    </row>
    <row r="88" customFormat="false" ht="35.05" hidden="false" customHeight="false" outlineLevel="0" collapsed="false">
      <c r="B88" s="10" t="s">
        <v>88</v>
      </c>
      <c r="C88" s="10"/>
      <c r="D88" s="10"/>
      <c r="E88" s="10"/>
      <c r="F88" s="10"/>
      <c r="G88" s="11" t="str">
        <f aca="false">IF(G86&lt;=G87,"OK","FLECHA EXCESSIVA — AUMENTE h")</f>
        <v>FLECHA EXCESSIVA — AUMENTE h</v>
      </c>
      <c r="H88" s="7"/>
    </row>
    <row r="90" customFormat="false" ht="18" hidden="false" customHeight="true" outlineLevel="0" collapsed="false">
      <c r="B90" s="3" t="s">
        <v>89</v>
      </c>
      <c r="C90" s="3"/>
      <c r="D90" s="3"/>
      <c r="E90" s="3"/>
      <c r="F90" s="3"/>
      <c r="G90" s="3"/>
      <c r="H90" s="3"/>
    </row>
    <row r="91" customFormat="false" ht="15" hidden="false" customHeight="false" outlineLevel="0" collapsed="false">
      <c r="B91" s="4" t="s">
        <v>90</v>
      </c>
      <c r="C91" s="4"/>
      <c r="D91" s="4"/>
      <c r="E91" s="4"/>
      <c r="F91" s="4"/>
      <c r="G91" s="16" t="n">
        <f aca="false">(G7*100)/G10</f>
        <v>25</v>
      </c>
      <c r="H91" s="7"/>
    </row>
    <row r="92" customFormat="false" ht="15" hidden="false" customHeight="false" outlineLevel="0" collapsed="false">
      <c r="B92" s="4" t="s">
        <v>91</v>
      </c>
      <c r="C92" s="4"/>
      <c r="D92" s="4"/>
      <c r="E92" s="4"/>
      <c r="F92" s="4"/>
      <c r="G92" s="16" t="n">
        <f aca="false">G11/G10</f>
        <v>2.5</v>
      </c>
      <c r="H92" s="7"/>
    </row>
    <row r="93" customFormat="false" ht="35.05" hidden="false" customHeight="false" outlineLevel="0" collapsed="false">
      <c r="B93" s="10" t="s">
        <v>92</v>
      </c>
      <c r="C93" s="10"/>
      <c r="D93" s="10"/>
      <c r="E93" s="10"/>
      <c r="F93" s="10"/>
      <c r="G93" s="11" t="str">
        <f aca="false">IF(AND(G91&lt;=50,G92&lt;=5),"OK — não precisa considerar 2ª ordem lateral","VERIFICAR INSTABILIDADE LATERAL EM DETALHE")</f>
        <v>OK — não precisa considerar 2ª ordem lateral</v>
      </c>
      <c r="H93" s="7"/>
    </row>
    <row r="94" customFormat="false" ht="15" hidden="false" customHeight="false" outlineLevel="0" collapsed="false">
      <c r="B94" s="10" t="s">
        <v>93</v>
      </c>
      <c r="C94" s="10"/>
      <c r="D94" s="10"/>
      <c r="E94" s="10"/>
      <c r="F94" s="10"/>
      <c r="G94" s="11" t="str">
        <f aca="false">IF(G10&gt;=12,"OK","b ABAIXO DO MÍNIMO NORMATIVO")</f>
        <v>OK</v>
      </c>
      <c r="H94" s="7"/>
    </row>
    <row r="96" customFormat="false" ht="18" hidden="false" customHeight="true" outlineLevel="0" collapsed="false">
      <c r="B96" s="3" t="s">
        <v>94</v>
      </c>
      <c r="C96" s="3"/>
      <c r="D96" s="3"/>
      <c r="E96" s="3"/>
      <c r="F96" s="3"/>
      <c r="G96" s="3"/>
      <c r="H96" s="3"/>
    </row>
    <row r="97" customFormat="false" ht="15" hidden="false" customHeight="true" outlineLevel="0" collapsed="false">
      <c r="B97" s="19" t="s">
        <v>95</v>
      </c>
      <c r="C97" s="19"/>
      <c r="D97" s="19"/>
      <c r="E97" s="19"/>
      <c r="F97" s="19"/>
      <c r="G97" s="19"/>
      <c r="H97" s="19"/>
    </row>
    <row r="98" customFormat="false" ht="15" hidden="false" customHeight="true" outlineLevel="0" collapsed="false">
      <c r="B98" s="19" t="s">
        <v>96</v>
      </c>
      <c r="C98" s="19"/>
      <c r="D98" s="19"/>
      <c r="E98" s="19"/>
      <c r="F98" s="19"/>
      <c r="G98" s="19"/>
      <c r="H98" s="19"/>
    </row>
    <row r="99" customFormat="false" ht="15" hidden="false" customHeight="true" outlineLevel="0" collapsed="false">
      <c r="B99" s="19" t="s">
        <v>97</v>
      </c>
      <c r="C99" s="19"/>
      <c r="D99" s="19"/>
      <c r="E99" s="19"/>
      <c r="F99" s="19"/>
      <c r="G99" s="19"/>
      <c r="H99" s="19"/>
    </row>
    <row r="100" customFormat="false" ht="15" hidden="false" customHeight="true" outlineLevel="0" collapsed="false">
      <c r="B100" s="19" t="s">
        <v>98</v>
      </c>
      <c r="C100" s="19"/>
      <c r="D100" s="19"/>
      <c r="E100" s="19"/>
      <c r="F100" s="19"/>
      <c r="G100" s="19"/>
      <c r="H100" s="19"/>
    </row>
    <row r="101" customFormat="false" ht="15" hidden="false" customHeight="true" outlineLevel="0" collapsed="false">
      <c r="B101" s="19" t="s">
        <v>99</v>
      </c>
      <c r="C101" s="19"/>
      <c r="D101" s="19"/>
      <c r="E101" s="19"/>
      <c r="F101" s="19"/>
      <c r="G101" s="19"/>
      <c r="H101" s="19"/>
    </row>
  </sheetData>
  <mergeCells count="91">
    <mergeCell ref="B2:H3"/>
    <mergeCell ref="B4:H4"/>
    <mergeCell ref="B6:H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2:H22"/>
    <mergeCell ref="B23:F23"/>
    <mergeCell ref="B24:F24"/>
    <mergeCell ref="B25:F25"/>
    <mergeCell ref="B26:F26"/>
    <mergeCell ref="B27:F27"/>
    <mergeCell ref="B28:F28"/>
    <mergeCell ref="B30:H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4:F44"/>
    <mergeCell ref="B46:H46"/>
    <mergeCell ref="B47:F47"/>
    <mergeCell ref="B48:F48"/>
    <mergeCell ref="B49:F49"/>
    <mergeCell ref="B50:F50"/>
    <mergeCell ref="B51:F51"/>
    <mergeCell ref="B52:F52"/>
    <mergeCell ref="B53:F53"/>
    <mergeCell ref="B54:F54"/>
    <mergeCell ref="B55:F55"/>
    <mergeCell ref="B56:F56"/>
    <mergeCell ref="B57:F57"/>
    <mergeCell ref="B58:F58"/>
    <mergeCell ref="B59:F59"/>
    <mergeCell ref="B60:F60"/>
    <mergeCell ref="B61:F61"/>
    <mergeCell ref="B62:F62"/>
    <mergeCell ref="B63:F63"/>
    <mergeCell ref="B64:F64"/>
    <mergeCell ref="B66:H66"/>
    <mergeCell ref="B67:F67"/>
    <mergeCell ref="B68:F68"/>
    <mergeCell ref="B69:F69"/>
    <mergeCell ref="B70:F70"/>
    <mergeCell ref="B71:F71"/>
    <mergeCell ref="B73:H73"/>
    <mergeCell ref="B74:F74"/>
    <mergeCell ref="B75:F75"/>
    <mergeCell ref="B76:F76"/>
    <mergeCell ref="B77:F77"/>
    <mergeCell ref="B78:F78"/>
    <mergeCell ref="B79:F79"/>
    <mergeCell ref="B80:F80"/>
    <mergeCell ref="B81:F81"/>
    <mergeCell ref="B82:F82"/>
    <mergeCell ref="B83:F83"/>
    <mergeCell ref="B84:F84"/>
    <mergeCell ref="B85:F85"/>
    <mergeCell ref="B86:F86"/>
    <mergeCell ref="B87:F87"/>
    <mergeCell ref="B88:F88"/>
    <mergeCell ref="B90:H90"/>
    <mergeCell ref="B91:F91"/>
    <mergeCell ref="B92:F92"/>
    <mergeCell ref="B93:F93"/>
    <mergeCell ref="B94:F94"/>
    <mergeCell ref="B96:H96"/>
    <mergeCell ref="B97:H97"/>
    <mergeCell ref="B98:H98"/>
    <mergeCell ref="B99:H99"/>
    <mergeCell ref="B100:H100"/>
    <mergeCell ref="B101:H10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2026-08-14T23:58:16Z</dcterms:created>
  <dc:creator>openpyxl</dc:creator>
  <dc:description/>
  <dc:language>en-US</dc:language>
  <cp:lastModifiedBy/>
  <dcterms:modified xsi:type="dcterms:W3CDTF">2026-08-14T23:58:16Z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
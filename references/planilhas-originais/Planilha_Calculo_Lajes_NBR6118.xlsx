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je 1 Direção" sheetId="1" state="visible" r:id="rId3"/>
    <sheet name="Laje 2 Direçõ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<sst xmlns="http://schemas.openxmlformats.org/spreadsheetml/2006/main" count="71" uniqueCount="55">
  <si>
    <t xml:space="preserve">PLANILHA PARA CÁLCULO DE LAJES</t>
  </si>
  <si>
    <t xml:space="preserve">Laje Maciça Armada em 1 Direção (λ = ly/lx &gt; 2) — NBR 6118:2014</t>
  </si>
  <si>
    <t xml:space="preserve">DADOS DE ENTRADA</t>
  </si>
  <si>
    <t xml:space="preserve">RESULTADOS</t>
  </si>
  <si>
    <t xml:space="preserve">Menor vão livre  lx (m)</t>
  </si>
  <si>
    <t xml:space="preserve">Carga total de cálculo  pd (kN/m²)</t>
  </si>
  <si>
    <t xml:space="preserve">Espessura da laje  h (cm)</t>
  </si>
  <si>
    <t xml:space="preserve">Momento fletor  Md (kN.m/m)</t>
  </si>
  <si>
    <t xml:space="preserve">Cobrimento até c.g. da armadura  d' (cm)</t>
  </si>
  <si>
    <t xml:space="preserve">Altura útil  d (cm)</t>
  </si>
  <si>
    <t xml:space="preserve">Carga permanente  g (kN/m²)</t>
  </si>
  <si>
    <t xml:space="preserve">fcd (kN/cm²)</t>
  </si>
  <si>
    <t xml:space="preserve">Carga acidental  q (kN/m²)</t>
  </si>
  <si>
    <t xml:space="preserve">fyd (kN/cm²)</t>
  </si>
  <si>
    <t xml:space="preserve">Resistência do concreto  fck (MPa)</t>
  </si>
  <si>
    <t xml:space="preserve">KMD = Md / (b · d² · fcd)  [b=100cm]</t>
  </si>
  <si>
    <t xml:space="preserve">Resistência do aço  fyk (MPa) — CA-50/CA-60</t>
  </si>
  <si>
    <t xml:space="preserve">ξ = x/d</t>
  </si>
  <si>
    <t xml:space="preserve">Condição de apoio</t>
  </si>
  <si>
    <t xml:space="preserve">Biapoiada</t>
  </si>
  <si>
    <t xml:space="preserve">z — braço de alavanca (cm)</t>
  </si>
  <si>
    <t xml:space="preserve">Cálculo feito para uma faixa de 1 m de largura, como uma viga. Válido quando ly/lx &gt; 2 (armação concentrada em lx).</t>
  </si>
  <si>
    <t xml:space="preserve">As,calc (cm²/m)</t>
  </si>
  <si>
    <t xml:space="preserve">ρmin (Tabela 17.3 NBR 6118)</t>
  </si>
  <si>
    <t xml:space="preserve">As,min (cm²/m)</t>
  </si>
  <si>
    <t xml:space="preserve">As,adotada (cm²/m)</t>
  </si>
  <si>
    <t xml:space="preserve">Espaçamento p/ Ø6.3mm (cm)</t>
  </si>
  <si>
    <t xml:space="preserve">Espaçamento p/ Ø8.0mm (cm)</t>
  </si>
  <si>
    <t xml:space="preserve">Espaçamento p/ Ø10mm (cm)</t>
  </si>
  <si>
    <t xml:space="preserve">LEGENDA E OBSERVAÇÕES</t>
  </si>
  <si>
    <t xml:space="preserve">• Coeficientes de momento: biapoiada = pd·lx²/8; engastada-apoiada = pd·lx²/14,22; biengastada = pd·lx²/24 (viga equivalente de 1 m).</t>
  </si>
  <si>
    <t xml:space="preserve">• Válido para lajes com ly/lx &gt; 2 (predominantemente unidirecionais). Para lx/ly ≤ 2, use a aba 'Laje 2 Direções'.</t>
  </si>
  <si>
    <t xml:space="preserve">• Espaçamento calculado para área de aço por barra (cm²) x 100 / As,adotada — arredondado para baixo (a favor da segurança).</t>
  </si>
  <si>
    <t xml:space="preserve">• Confira o Estado Limite de Deformação Excessiva (flecha) separadamente — não incluído nesta planilha.</t>
  </si>
  <si>
    <t xml:space="preserve">Laje Maciça Armada em 2 Direções — Caso 1: todos os bordos simplesmente apoiados (Método de Bares/Czerny)</t>
  </si>
  <si>
    <t xml:space="preserve">Menor vão  lx (m)</t>
  </si>
  <si>
    <t xml:space="preserve">λ = ly/lx</t>
  </si>
  <si>
    <t xml:space="preserve">Maior vão  ly (m)</t>
  </si>
  <si>
    <t xml:space="preserve">μx (interpolado - Bares/Czerny, caso 1)</t>
  </si>
  <si>
    <t xml:space="preserve">μy (interpolado - Bares/Czerny, caso 1)</t>
  </si>
  <si>
    <t xml:space="preserve">Mx (kN.m/m)</t>
  </si>
  <si>
    <t xml:space="preserve">My (kN.m/m)</t>
  </si>
  <si>
    <t xml:space="preserve">Válido para λ = ly/lx entre 1,0 e 2,0, laje retangular apoiada nos 4 lados (caso 1). Para engastes, use software estrutural ou tabela completa de Bares/Czerny.</t>
  </si>
  <si>
    <t xml:space="preserve">As,x calc (cm²/m)</t>
  </si>
  <si>
    <t xml:space="preserve">Tabela auxiliar (λ, μx, μy) — não editar</t>
  </si>
  <si>
    <t xml:space="preserve">As,y calc (cm²/m)</t>
  </si>
  <si>
    <t xml:space="preserve">λ</t>
  </si>
  <si>
    <t xml:space="preserve">μx</t>
  </si>
  <si>
    <t xml:space="preserve">μy</t>
  </si>
  <si>
    <t xml:space="preserve">As,x adotada (cm²/m)</t>
  </si>
  <si>
    <t xml:space="preserve">As,y adotada (cm²/m)</t>
  </si>
  <si>
    <t xml:space="preserve">• μx e μy: coeficientes de momento (Método de Bares/Czerny, caso 1 — 4 bordos simplesmente apoiados), interpolados linearmente pela tabela auxiliar.</t>
  </si>
  <si>
    <t xml:space="preserve">• Mx = μx · pd · lx² / 100 ; My = μy · pd · lx² / 100 (kN.m/m).</t>
  </si>
  <si>
    <t xml:space="preserve">• Para lajes com engastes (contínuas), os coeficientes mudam — consulte a tabela completa de Bares/Czerny ou utilize software de análise estrutural (grelha/MEF).</t>
  </si>
  <si>
    <t xml:space="preserve">• Valores de μ são aproximados a partir de referências consolidadas na literatura técnica brasileira; para projetos executivos, confirme com a tabela completa da bibliografia adotada.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</si>
</sst>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00"/>
    <numFmt numFmtId="167" formatCode="0.0000"/>
    <numFmt numFmtId="168" formatCode="0.00%"/>
    <numFmt numFmtId="169" formatCode="0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2E5C8A"/>
        <bgColor rgb="FF666699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8D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34"/>
    <col collapsed="false" customWidth="true" hidden="false" outlineLevel="0" max="8" min="7" style="0" width="14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8" hidden="false" customHeight="true" outlineLevel="0" collapsed="false">
      <c r="B6" s="3" t="s">
        <v>2</v>
      </c>
      <c r="C6" s="3"/>
      <c r="D6" s="3"/>
      <c r="F6" s="3" t="s">
        <v>3</v>
      </c>
      <c r="G6" s="3"/>
      <c r="H6" s="3"/>
    </row>
    <row r="7" customFormat="false" ht="15" hidden="false" customHeight="false" outlineLevel="0" collapsed="false">
      <c r="B7" s="4" t="s">
        <v>4</v>
      </c>
      <c r="C7" s="4"/>
      <c r="D7" s="5" t="n">
        <v>3</v>
      </c>
      <c r="F7" s="4" t="s">
        <v>5</v>
      </c>
      <c r="G7" s="4"/>
      <c r="H7" s="6" t="n">
        <f aca="false">(D10+D11)*1.4</f>
        <v>5.6</v>
      </c>
    </row>
    <row r="8" customFormat="false" ht="15" hidden="false" customHeight="false" outlineLevel="0" collapsed="false">
      <c r="B8" s="4" t="s">
        <v>6</v>
      </c>
      <c r="C8" s="4"/>
      <c r="D8" s="5" t="n">
        <v>10</v>
      </c>
      <c r="F8" s="4" t="s">
        <v>7</v>
      </c>
      <c r="G8" s="4"/>
      <c r="H8" s="6" t="n">
        <f aca="false">_xlfn.IFS(D14="Biapoiada",H7*D7^2/8,D14="Engastada-Apoiada",H7*D7^2/14.22,D14="Biengastada",H7*D7^2/24)</f>
        <v>6.3</v>
      </c>
    </row>
    <row r="9" customFormat="false" ht="15" hidden="false" customHeight="false" outlineLevel="0" collapsed="false">
      <c r="B9" s="4" t="s">
        <v>8</v>
      </c>
      <c r="C9" s="4"/>
      <c r="D9" s="5" t="n">
        <v>2.5</v>
      </c>
      <c r="F9" s="4" t="s">
        <v>9</v>
      </c>
      <c r="G9" s="4"/>
      <c r="H9" s="6" t="n">
        <f aca="false">D8-D9</f>
        <v>7.5</v>
      </c>
    </row>
    <row r="10" customFormat="false" ht="15" hidden="false" customHeight="false" outlineLevel="0" collapsed="false">
      <c r="B10" s="4" t="s">
        <v>10</v>
      </c>
      <c r="C10" s="4"/>
      <c r="D10" s="5" t="n">
        <v>2.5</v>
      </c>
      <c r="F10" s="4" t="s">
        <v>11</v>
      </c>
      <c r="G10" s="4"/>
      <c r="H10" s="7" t="n">
        <f aca="false">(D12/10)/1.4</f>
        <v>1.78571428571429</v>
      </c>
    </row>
    <row r="11" customFormat="false" ht="15" hidden="false" customHeight="false" outlineLevel="0" collapsed="false">
      <c r="B11" s="4" t="s">
        <v>12</v>
      </c>
      <c r="C11" s="4"/>
      <c r="D11" s="5" t="n">
        <v>1.5</v>
      </c>
      <c r="F11" s="4" t="s">
        <v>13</v>
      </c>
      <c r="G11" s="4"/>
      <c r="H11" s="7" t="n">
        <f aca="false">(D13/10)/1.15</f>
        <v>43.4782608695652</v>
      </c>
    </row>
    <row r="12" customFormat="false" ht="15" hidden="false" customHeight="false" outlineLevel="0" collapsed="false">
      <c r="B12" s="4" t="s">
        <v>14</v>
      </c>
      <c r="C12" s="4"/>
      <c r="D12" s="5" t="n">
        <v>25</v>
      </c>
      <c r="F12" s="4" t="s">
        <v>15</v>
      </c>
      <c r="G12" s="4"/>
      <c r="H12" s="8" t="n">
        <f aca="false">(H8*100)/(100*H9^2*H10)</f>
        <v>0.06272</v>
      </c>
    </row>
    <row r="13" customFormat="false" ht="15" hidden="false" customHeight="false" outlineLevel="0" collapsed="false">
      <c r="B13" s="4" t="s">
        <v>16</v>
      </c>
      <c r="C13" s="4"/>
      <c r="D13" s="5" t="n">
        <v>500</v>
      </c>
      <c r="F13" s="4" t="s">
        <v>17</v>
      </c>
      <c r="G13" s="4"/>
      <c r="H13" s="8" t="n">
        <f aca="false">IF(0.4624-1.088*H12&lt;0,"AUMENTE h",(0.68-SQRT(0.4624-1.088*H12))/0.544)</f>
        <v>0.0959151830537402</v>
      </c>
    </row>
    <row r="14" customFormat="false" ht="15" hidden="false" customHeight="false" outlineLevel="0" collapsed="false">
      <c r="B14" s="4" t="s">
        <v>18</v>
      </c>
      <c r="C14" s="4"/>
      <c r="D14" s="5" t="s">
        <v>19</v>
      </c>
      <c r="F14" s="4" t="s">
        <v>20</v>
      </c>
      <c r="G14" s="4"/>
      <c r="H14" s="6" t="n">
        <f aca="false">IF(ISNUMBER(H13),H9-0.4*H13*H9,"-")</f>
        <v>7.21225445083878</v>
      </c>
    </row>
    <row r="15" customFormat="false" ht="25.5" hidden="false" customHeight="true" outlineLevel="0" collapsed="false">
      <c r="B15" s="9" t="s">
        <v>21</v>
      </c>
      <c r="C15" s="9"/>
      <c r="D15" s="9"/>
      <c r="F15" s="4" t="s">
        <v>22</v>
      </c>
      <c r="G15" s="4"/>
      <c r="H15" s="6" t="n">
        <f aca="false">IF(ISNUMBER(H14),(H8*100)/(H11*H14),"-")</f>
        <v>2.00908053075066</v>
      </c>
    </row>
    <row r="16" customFormat="false" ht="15" hidden="false" customHeight="false" outlineLevel="0" collapsed="false">
      <c r="F16" s="4" t="s">
        <v>23</v>
      </c>
      <c r="G16" s="4"/>
      <c r="H16" s="10" t="n">
        <f aca="false">_xlfn.IFS(D12&lt;=25,0.0015,D12&lt;=30,0.00173,D12&lt;=35,0.00201,D12&lt;=40,0.0023,D12&lt;=45,0.00259,TRUE(),0.00288)</f>
        <v>0.0015</v>
      </c>
    </row>
    <row r="17" customFormat="false" ht="15" hidden="false" customHeight="false" outlineLevel="0" collapsed="false">
      <c r="F17" s="4" t="s">
        <v>24</v>
      </c>
      <c r="G17" s="4"/>
      <c r="H17" s="6" t="n">
        <f aca="false">H16*100*D8</f>
        <v>1.5</v>
      </c>
    </row>
    <row r="18" customFormat="false" ht="15" hidden="false" customHeight="false" outlineLevel="0" collapsed="false">
      <c r="F18" s="11" t="s">
        <v>25</v>
      </c>
      <c r="G18" s="11"/>
      <c r="H18" s="12" t="n">
        <f aca="false">IF(ISNUMBER(H15),MAX(H15,H17),"-")</f>
        <v>2.00908053075066</v>
      </c>
    </row>
    <row r="19" customFormat="false" ht="15" hidden="false" customHeight="false" outlineLevel="0" collapsed="false">
      <c r="F19" s="4" t="s">
        <v>26</v>
      </c>
      <c r="G19" s="4"/>
      <c r="H19" s="13" t="n">
        <f aca="false">IF(ISNUMBER(H18),ROUNDDOWN((0.315*100)/H18,0),"-")</f>
        <v>15</v>
      </c>
    </row>
    <row r="20" customFormat="false" ht="15" hidden="false" customHeight="false" outlineLevel="0" collapsed="false">
      <c r="F20" s="4" t="s">
        <v>27</v>
      </c>
      <c r="G20" s="4"/>
      <c r="H20" s="13" t="n">
        <f aca="false">IF(ISNUMBER(H18),ROUNDDOWN((0.503*100)/H18,0),"-")</f>
        <v>25</v>
      </c>
    </row>
    <row r="21" customFormat="false" ht="15" hidden="false" customHeight="false" outlineLevel="0" collapsed="false">
      <c r="F21" s="4" t="s">
        <v>28</v>
      </c>
      <c r="G21" s="4"/>
      <c r="H21" s="13" t="n">
        <f aca="false">IF(ISNUMBER(H18),ROUNDDOWN((0.785*100)/H18,0),"-")</f>
        <v>39</v>
      </c>
    </row>
    <row r="23" customFormat="false" ht="18" hidden="false" customHeight="true" outlineLevel="0" collapsed="false">
      <c r="B23" s="3" t="s">
        <v>29</v>
      </c>
      <c r="C23" s="3"/>
      <c r="D23" s="3"/>
      <c r="E23" s="3"/>
      <c r="F23" s="3"/>
      <c r="G23" s="3"/>
      <c r="H23" s="3"/>
    </row>
    <row r="24" customFormat="false" ht="15" hidden="false" customHeight="true" outlineLevel="0" collapsed="false">
      <c r="B24" s="9" t="s">
        <v>30</v>
      </c>
      <c r="C24" s="9"/>
      <c r="D24" s="9"/>
      <c r="E24" s="9"/>
      <c r="F24" s="9"/>
      <c r="G24" s="9"/>
      <c r="H24" s="9"/>
    </row>
    <row r="25" customFormat="false" ht="15" hidden="false" customHeight="true" outlineLevel="0" collapsed="false">
      <c r="B25" s="9" t="s">
        <v>31</v>
      </c>
      <c r="C25" s="9"/>
      <c r="D25" s="9"/>
      <c r="E25" s="9"/>
      <c r="F25" s="9"/>
      <c r="G25" s="9"/>
      <c r="H25" s="9"/>
    </row>
    <row r="26" customFormat="false" ht="15" hidden="false" customHeight="true" outlineLevel="0" collapsed="false">
      <c r="B26" s="9" t="s">
        <v>32</v>
      </c>
      <c r="C26" s="9"/>
      <c r="D26" s="9"/>
      <c r="E26" s="9"/>
      <c r="F26" s="9"/>
      <c r="G26" s="9"/>
      <c r="H26" s="9"/>
    </row>
    <row r="27" customFormat="false" ht="15" hidden="false" customHeight="true" outlineLevel="0" collapsed="false">
      <c r="B27" s="9" t="s">
        <v>33</v>
      </c>
      <c r="C27" s="9"/>
      <c r="D27" s="9"/>
      <c r="E27" s="9"/>
      <c r="F27" s="9"/>
      <c r="G27" s="9"/>
      <c r="H27" s="9"/>
    </row>
  </sheetData>
  <mergeCells count="33">
    <mergeCell ref="B2:H3"/>
    <mergeCell ref="B4:H4"/>
    <mergeCell ref="B6:D6"/>
    <mergeCell ref="F6:H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D15"/>
    <mergeCell ref="F15:G15"/>
    <mergeCell ref="F16:G16"/>
    <mergeCell ref="F17:G17"/>
    <mergeCell ref="F18:G18"/>
    <mergeCell ref="F19:G19"/>
    <mergeCell ref="F20:G20"/>
    <mergeCell ref="F21:G21"/>
    <mergeCell ref="B23:H23"/>
    <mergeCell ref="B24:H24"/>
    <mergeCell ref="B25:H25"/>
    <mergeCell ref="B26:H26"/>
    <mergeCell ref="B27:H27"/>
  </mergeCells>
  <dataValidations count="1">
    <dataValidation allowBlank="false" errorStyle="stop" operator="between" showDropDown="false" showErrorMessage="false" showInputMessage="false" sqref="D14" type="list">
      <formula1>"Biapoiada,Engastada-Apoiada,Biengastada"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34"/>
    <col collapsed="false" customWidth="true" hidden="false" outlineLevel="0" max="8" min="7" style="0" width="14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15.75" hidden="false" customHeight="true" outlineLevel="0" collapsed="false">
      <c r="B4" s="2" t="s">
        <v>34</v>
      </c>
      <c r="C4" s="2"/>
      <c r="D4" s="2"/>
      <c r="E4" s="2"/>
      <c r="F4" s="2"/>
      <c r="G4" s="2"/>
      <c r="H4" s="2"/>
    </row>
    <row r="6" customFormat="false" ht="18" hidden="false" customHeight="true" outlineLevel="0" collapsed="false">
      <c r="B6" s="3" t="s">
        <v>2</v>
      </c>
      <c r="C6" s="3"/>
      <c r="D6" s="3"/>
      <c r="F6" s="3" t="s">
        <v>3</v>
      </c>
      <c r="G6" s="3"/>
      <c r="H6" s="3"/>
    </row>
    <row r="7" customFormat="false" ht="15" hidden="false" customHeight="false" outlineLevel="0" collapsed="false">
      <c r="B7" s="4" t="s">
        <v>35</v>
      </c>
      <c r="C7" s="4"/>
      <c r="D7" s="5" t="n">
        <v>4</v>
      </c>
      <c r="F7" s="4" t="s">
        <v>36</v>
      </c>
      <c r="G7" s="4"/>
      <c r="H7" s="6" t="n">
        <f aca="false">D8/D7</f>
        <v>1.2</v>
      </c>
    </row>
    <row r="8" customFormat="false" ht="15" hidden="false" customHeight="false" outlineLevel="0" collapsed="false">
      <c r="B8" s="4" t="s">
        <v>37</v>
      </c>
      <c r="C8" s="4"/>
      <c r="D8" s="5" t="n">
        <v>4.8</v>
      </c>
      <c r="F8" s="4" t="s">
        <v>38</v>
      </c>
      <c r="G8" s="4"/>
      <c r="H8" s="6" t="n">
        <f aca="false">INDEX($C$19:$C$29,MATCH(H7,$B$19:$B$29,1))+(H7-INDEX($B$19:$B$29,MATCH(H7,$B$19:$B$29,1)))/0.1*(INDEX($C$19:$C$29,MIN(MATCH(H7,$B$19:$B$29,1)+1,11))-INDEX($C$19:$C$29,MATCH(H7,$B$19:$B$29,1)))</f>
        <v>4.6</v>
      </c>
    </row>
    <row r="9" customFormat="false" ht="15" hidden="false" customHeight="false" outlineLevel="0" collapsed="false">
      <c r="B9" s="4" t="s">
        <v>6</v>
      </c>
      <c r="C9" s="4"/>
      <c r="D9" s="5" t="n">
        <v>10</v>
      </c>
      <c r="F9" s="4" t="s">
        <v>39</v>
      </c>
      <c r="G9" s="4"/>
      <c r="H9" s="6" t="n">
        <f aca="false">INDEX($D$19:$D$29,MATCH(H7,$B$19:$B$29,1))+(H7-INDEX($B$19:$B$29,MATCH(H7,$B$19:$B$29,1)))/0.1*(INDEX($D$19:$D$29,MIN(MATCH(H7,$B$19:$B$29,1)+1,11))-INDEX($D$19:$D$29,MATCH(H7,$B$19:$B$29,1)))</f>
        <v>3.2</v>
      </c>
    </row>
    <row r="10" customFormat="false" ht="15" hidden="false" customHeight="false" outlineLevel="0" collapsed="false">
      <c r="B10" s="4" t="s">
        <v>8</v>
      </c>
      <c r="C10" s="4"/>
      <c r="D10" s="5" t="n">
        <v>2.5</v>
      </c>
      <c r="F10" s="4" t="s">
        <v>5</v>
      </c>
      <c r="G10" s="4"/>
      <c r="H10" s="6" t="n">
        <f aca="false">(D11+D12)*1.4</f>
        <v>5.6</v>
      </c>
    </row>
    <row r="11" customFormat="false" ht="15" hidden="false" customHeight="false" outlineLevel="0" collapsed="false">
      <c r="B11" s="4" t="s">
        <v>10</v>
      </c>
      <c r="C11" s="4"/>
      <c r="D11" s="5" t="n">
        <v>2.5</v>
      </c>
      <c r="F11" s="4" t="s">
        <v>40</v>
      </c>
      <c r="G11" s="4"/>
      <c r="H11" s="6" t="n">
        <f aca="false">H8*H10*D7^2/100</f>
        <v>4.1216</v>
      </c>
    </row>
    <row r="12" customFormat="false" ht="15" hidden="false" customHeight="false" outlineLevel="0" collapsed="false">
      <c r="B12" s="4" t="s">
        <v>12</v>
      </c>
      <c r="C12" s="4"/>
      <c r="D12" s="5" t="n">
        <v>1.5</v>
      </c>
      <c r="F12" s="4" t="s">
        <v>41</v>
      </c>
      <c r="G12" s="4"/>
      <c r="H12" s="6" t="n">
        <f aca="false">H9*H10*D7^2/100</f>
        <v>2.8672</v>
      </c>
    </row>
    <row r="13" customFormat="false" ht="15" hidden="false" customHeight="false" outlineLevel="0" collapsed="false">
      <c r="B13" s="4" t="s">
        <v>14</v>
      </c>
      <c r="C13" s="4"/>
      <c r="D13" s="5" t="n">
        <v>25</v>
      </c>
      <c r="F13" s="4" t="s">
        <v>9</v>
      </c>
      <c r="G13" s="4"/>
      <c r="H13" s="6" t="n">
        <f aca="false">D9-D10</f>
        <v>7.5</v>
      </c>
    </row>
    <row r="14" customFormat="false" ht="15" hidden="false" customHeight="false" outlineLevel="0" collapsed="false">
      <c r="B14" s="4" t="s">
        <v>16</v>
      </c>
      <c r="C14" s="4"/>
      <c r="D14" s="5" t="n">
        <v>500</v>
      </c>
      <c r="F14" s="4" t="s">
        <v>11</v>
      </c>
      <c r="G14" s="4"/>
      <c r="H14" s="7" t="n">
        <f aca="false">(D13/10)/1.4</f>
        <v>1.78571428571429</v>
      </c>
    </row>
    <row r="15" customFormat="false" ht="31.5" hidden="false" customHeight="true" outlineLevel="0" collapsed="false">
      <c r="B15" s="9" t="s">
        <v>42</v>
      </c>
      <c r="C15" s="9"/>
      <c r="D15" s="9"/>
      <c r="F15" s="4" t="s">
        <v>13</v>
      </c>
      <c r="G15" s="4"/>
      <c r="H15" s="7" t="n">
        <f aca="false">(D14/10)/1.15</f>
        <v>43.4782608695652</v>
      </c>
    </row>
    <row r="16" customFormat="false" ht="15" hidden="false" customHeight="false" outlineLevel="0" collapsed="false">
      <c r="F16" s="4" t="s">
        <v>43</v>
      </c>
      <c r="G16" s="4"/>
      <c r="H16" s="6" t="n">
        <f aca="false">IFERROR((H11*100)/(H15*(H13-0.4*H13*((0.68-SQRT(0.4624-1.088*((H11*100)/(100*H13^2*H14))))/0.544))),"AUMENTE h")</f>
        <v>1.29603349996586</v>
      </c>
    </row>
    <row r="17" customFormat="false" ht="15" hidden="false" customHeight="false" outlineLevel="0" collapsed="false">
      <c r="B17" s="14" t="s">
        <v>44</v>
      </c>
      <c r="F17" s="4" t="s">
        <v>45</v>
      </c>
      <c r="G17" s="4"/>
      <c r="H17" s="6" t="n">
        <f aca="false">IFERROR((H12*100)/(H15*(H13-0.4*H13*((0.68-SQRT(0.4624-1.088*((H12*100)/(100*H13^2*H14))))/0.544))),"AUMENTE h")</f>
        <v>0.894556139278418</v>
      </c>
    </row>
    <row r="18" customFormat="false" ht="15" hidden="false" customHeight="false" outlineLevel="0" collapsed="false">
      <c r="B18" s="15" t="s">
        <v>46</v>
      </c>
      <c r="C18" s="15" t="s">
        <v>47</v>
      </c>
      <c r="D18" s="15" t="s">
        <v>48</v>
      </c>
      <c r="F18" s="4" t="s">
        <v>23</v>
      </c>
      <c r="G18" s="4"/>
      <c r="H18" s="10" t="n">
        <f aca="false">_xlfn.IFS(D13&lt;=25,0.0015,D13&lt;=30,0.00173,D13&lt;=35,0.00201,D13&lt;=40,0.0023,D13&lt;=45,0.00259,TRUE(),0.00288)</f>
        <v>0.0015</v>
      </c>
    </row>
    <row r="19" customFormat="false" ht="15" hidden="false" customHeight="false" outlineLevel="0" collapsed="false">
      <c r="B19" s="16" t="n">
        <v>1</v>
      </c>
      <c r="C19" s="16" t="n">
        <v>3.7</v>
      </c>
      <c r="D19" s="16" t="n">
        <v>3.7</v>
      </c>
      <c r="F19" s="4" t="s">
        <v>24</v>
      </c>
      <c r="G19" s="4"/>
      <c r="H19" s="6" t="n">
        <f aca="false">H18*100*D9</f>
        <v>1.5</v>
      </c>
    </row>
    <row r="20" customFormat="false" ht="15" hidden="false" customHeight="false" outlineLevel="0" collapsed="false">
      <c r="B20" s="16" t="n">
        <v>1.1</v>
      </c>
      <c r="C20" s="16" t="n">
        <v>4.2</v>
      </c>
      <c r="D20" s="16" t="n">
        <v>3.4</v>
      </c>
      <c r="F20" s="11" t="s">
        <v>49</v>
      </c>
      <c r="G20" s="11"/>
      <c r="H20" s="12" t="n">
        <f aca="false">IF(ISNUMBER(H16),MAX(H16,H19),"-")</f>
        <v>1.5</v>
      </c>
    </row>
    <row r="21" customFormat="false" ht="15" hidden="false" customHeight="false" outlineLevel="0" collapsed="false">
      <c r="B21" s="16" t="n">
        <v>1.2</v>
      </c>
      <c r="C21" s="16" t="n">
        <v>4.6</v>
      </c>
      <c r="D21" s="16" t="n">
        <v>3.2</v>
      </c>
      <c r="F21" s="11" t="s">
        <v>50</v>
      </c>
      <c r="G21" s="11"/>
      <c r="H21" s="12" t="n">
        <f aca="false">IF(ISNUMBER(H17),MAX(H17,H19),"-")</f>
        <v>1.5</v>
      </c>
    </row>
    <row r="22" customFormat="false" ht="15" hidden="false" customHeight="false" outlineLevel="0" collapsed="false">
      <c r="B22" s="16" t="n">
        <v>1.3</v>
      </c>
      <c r="C22" s="16" t="n">
        <v>5</v>
      </c>
      <c r="D22" s="16" t="n">
        <v>3</v>
      </c>
    </row>
    <row r="23" customFormat="false" ht="15" hidden="false" customHeight="false" outlineLevel="0" collapsed="false">
      <c r="B23" s="16" t="n">
        <v>1.4</v>
      </c>
      <c r="C23" s="16" t="n">
        <v>5.3</v>
      </c>
      <c r="D23" s="16" t="n">
        <v>2.7</v>
      </c>
    </row>
    <row r="24" customFormat="false" ht="15" hidden="false" customHeight="false" outlineLevel="0" collapsed="false">
      <c r="B24" s="16" t="n">
        <v>1.5</v>
      </c>
      <c r="C24" s="16" t="n">
        <v>5.5</v>
      </c>
      <c r="D24" s="16" t="n">
        <v>2.5</v>
      </c>
    </row>
    <row r="25" customFormat="false" ht="15" hidden="false" customHeight="false" outlineLevel="0" collapsed="false">
      <c r="B25" s="16" t="n">
        <v>1.6</v>
      </c>
      <c r="C25" s="16" t="n">
        <v>5.8</v>
      </c>
      <c r="D25" s="16" t="n">
        <v>2.3</v>
      </c>
    </row>
    <row r="26" customFormat="false" ht="15" hidden="false" customHeight="false" outlineLevel="0" collapsed="false">
      <c r="B26" s="16" t="n">
        <v>1.7</v>
      </c>
      <c r="C26" s="16" t="n">
        <v>5.9</v>
      </c>
      <c r="D26" s="16" t="n">
        <v>2.2</v>
      </c>
    </row>
    <row r="27" customFormat="false" ht="15" hidden="false" customHeight="false" outlineLevel="0" collapsed="false">
      <c r="B27" s="16" t="n">
        <v>1.8</v>
      </c>
      <c r="C27" s="16" t="n">
        <v>6</v>
      </c>
      <c r="D27" s="16" t="n">
        <v>2.1</v>
      </c>
    </row>
    <row r="28" customFormat="false" ht="15" hidden="false" customHeight="false" outlineLevel="0" collapsed="false">
      <c r="B28" s="16" t="n">
        <v>1.9</v>
      </c>
      <c r="C28" s="16" t="n">
        <v>6.2</v>
      </c>
      <c r="D28" s="16" t="n">
        <v>1.9</v>
      </c>
    </row>
    <row r="29" customFormat="false" ht="15" hidden="false" customHeight="false" outlineLevel="0" collapsed="false">
      <c r="B29" s="16" t="n">
        <v>2</v>
      </c>
      <c r="C29" s="16" t="n">
        <v>6.3</v>
      </c>
      <c r="D29" s="16" t="n">
        <v>1.8</v>
      </c>
    </row>
    <row r="32" customFormat="false" ht="18" hidden="false" customHeight="true" outlineLevel="0" collapsed="false">
      <c r="B32" s="3" t="s">
        <v>29</v>
      </c>
      <c r="C32" s="3"/>
      <c r="D32" s="3"/>
      <c r="E32" s="3"/>
      <c r="F32" s="3"/>
      <c r="G32" s="3"/>
      <c r="H32" s="3"/>
    </row>
    <row r="33" customFormat="false" ht="15" hidden="false" customHeight="true" outlineLevel="0" collapsed="false">
      <c r="B33" s="9" t="s">
        <v>51</v>
      </c>
      <c r="C33" s="9"/>
      <c r="D33" s="9"/>
      <c r="E33" s="9"/>
      <c r="F33" s="9"/>
      <c r="G33" s="9"/>
      <c r="H33" s="9"/>
    </row>
    <row r="34" customFormat="false" ht="15" hidden="false" customHeight="true" outlineLevel="0" collapsed="false">
      <c r="B34" s="9" t="s">
        <v>52</v>
      </c>
      <c r="C34" s="9"/>
      <c r="D34" s="9"/>
      <c r="E34" s="9"/>
      <c r="F34" s="9"/>
      <c r="G34" s="9"/>
      <c r="H34" s="9"/>
    </row>
    <row r="35" customFormat="false" ht="15" hidden="false" customHeight="true" outlineLevel="0" collapsed="false">
      <c r="B35" s="9" t="s">
        <v>53</v>
      </c>
      <c r="C35" s="9"/>
      <c r="D35" s="9"/>
      <c r="E35" s="9"/>
      <c r="F35" s="9"/>
      <c r="G35" s="9"/>
      <c r="H35" s="9"/>
    </row>
    <row r="36" customFormat="false" ht="15" hidden="false" customHeight="true" outlineLevel="0" collapsed="false">
      <c r="B36" s="9" t="s">
        <v>54</v>
      </c>
      <c r="C36" s="9"/>
      <c r="D36" s="9"/>
      <c r="E36" s="9"/>
      <c r="F36" s="9"/>
      <c r="G36" s="9"/>
      <c r="H36" s="9"/>
    </row>
  </sheetData>
  <mergeCells count="33">
    <mergeCell ref="B2:H3"/>
    <mergeCell ref="B4:H4"/>
    <mergeCell ref="B6:D6"/>
    <mergeCell ref="F6:H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D15"/>
    <mergeCell ref="F15:G15"/>
    <mergeCell ref="F16:G16"/>
    <mergeCell ref="F17:G17"/>
    <mergeCell ref="F18:G18"/>
    <mergeCell ref="F19:G19"/>
    <mergeCell ref="F20:G20"/>
    <mergeCell ref="F21:G21"/>
    <mergeCell ref="B32:H32"/>
    <mergeCell ref="B33:H33"/>
    <mergeCell ref="B34:H34"/>
    <mergeCell ref="B35:H35"/>
    <mergeCell ref="B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2026-08-08T14:05:45Z</dcterms:created>
  <dc:creator>openpyxl</dc:creator>
  <dc:description/>
  <dc:language>en-US</dc:language>
  <cp:lastModifiedBy/>
  <dcterms:modified xsi:type="dcterms:W3CDTF">2026-08-08T14:05:45Z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
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ensionamento Pi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<sst xmlns="http://schemas.openxmlformats.org/spreadsheetml/2006/main" count="33" uniqueCount="33">
  <si>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PLANILHA PARA CÁLCULO DE PILARES</t>
  </si>
  <si>
    <t xml:space="preserve">Compressão Centrada (Armadura Longitudinal) — NBR 6118:2014, itens 15 e 17.2/17.3</t>
  </si>
  <si>
    <t xml:space="preserve">DADOS DE ENTRADA</t>
  </si>
  <si>
    <t xml:space="preserve">RESULTADOS</t>
  </si>
  <si>
    <t xml:space="preserve">Menor dimensão  b (cm)</t>
  </si>
  <si>
    <t xml:space="preserve">Área da seção  Ac (cm²)</t>
  </si>
  <si>
    <t xml:space="preserve">Maior dimensão  h (cm)</t>
  </si>
  <si>
    <t xml:space="preserve">Carga axial de cálculo  Nd (kN)</t>
  </si>
  <si>
    <t xml:space="preserve">Comprimento de flambagem  le (m)</t>
  </si>
  <si>
    <t xml:space="preserve">Índice de esbeltez  λ = (le·√12)/b</t>
  </si>
  <si>
    <t xml:space="preserve">Carga axial característica  Nk (kN)</t>
  </si>
  <si>
    <t xml:space="preserve">Classificação quanto à esbeltez</t>
  </si>
  <si>
    <t xml:space="preserve">Resistência do concreto  fck (MPa)</t>
  </si>
  <si>
    <t xml:space="preserve">Excentricidade de 1ª ordem mínima  ea (cm)</t>
  </si>
  <si>
    <t xml:space="preserve">Resistência do aço  fyk (MPa) — CA-50</t>
  </si>
  <si>
    <t xml:space="preserve">Momento mínimo  Md,min (kN.m)</t>
  </si>
  <si>
    <t xml:space="preserve">Considera compressão centrada + imperfeições geométricas locais (ea). Não substitui verificação de 2ª ordem para pilares esbeltos (λ&gt;90) nem flexão composta com excentricidades de projeto.</t>
  </si>
  <si>
    <t xml:space="preserve">fcd (kN/cm²)</t>
  </si>
  <si>
    <t xml:space="preserve">fyd (kN/cm²)</t>
  </si>
  <si>
    <t xml:space="preserve">As necessária — compressão centrada (cm²)</t>
  </si>
  <si>
    <t xml:space="preserve">As,mín = máx(0,15·Nd/fyd ; 0,4%·Ac) (cm²)</t>
  </si>
  <si>
    <t xml:space="preserve">As,máx = 8%·Ac (cm²)</t>
  </si>
  <si>
    <t xml:space="preserve">As,adotada (cm²)</t>
  </si>
  <si>
    <t xml:space="preserve">Verificação  As,adotada ≤ As,máx ?</t>
  </si>
  <si>
    <t xml:space="preserve">Nº de barras Ø12.5mm (As=1,25cm² cada)</t>
  </si>
  <si>
    <t xml:space="preserve">Nº de barras Ø16mm (As=2,01cm² cada)</t>
  </si>
  <si>
    <t xml:space="preserve">Nº de barras Ø20mm (As=3,15cm² cada)</t>
  </si>
  <si>
    <t xml:space="preserve">LEGENDA E OBSERVAÇÕES</t>
  </si>
  <si>
    <t xml:space="preserve">• Método: equilíbrio de compressão centrada, Nd = 0,85·fcd·(Ac−As) + fyd·As, considerando imperfeições geométricas locais (ea), conforme NBR 6118:2014, itens 11.3.3.4.2, 15.8 e 17.2.4.</t>
  </si>
  <si>
    <t xml:space="preserve">• λ = índice de esbeltez, calculado com i = b/√12 (raio de giração da menor dimensão).</t>
  </si>
  <si>
    <t xml:space="preserve">• As,mín conforme item 17.3.5.3.1 e As,máx conforme item 17.3.5.3.1 (incluindo trechos de emenda) da NBR 6118:2014.</t>
  </si>
  <si>
    <t xml:space="preserve">• Para pilares médios/esbeltos, excentricidades de 1ª ordem de projeto, ou flexão composta oblíqua, utilize ábacos de interação (Venturini, Pinheiro) ou software estrutural.</t>
  </si>
  <si>
    <t xml:space="preserve">• Esta planilha não dispensa a verificação de estabilidade global da edificação (parâmetro α e coeficiente γz).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</si>
</sst>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00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666699"/>
      </patternFill>
    </fill>
    <fill>
      <patternFill patternType="solid">
        <fgColor rgb="FFFFFF99"/>
        <bgColor rgb="FFE8F0E8"/>
      </patternFill>
    </fill>
    <fill>
      <patternFill patternType="solid">
        <fgColor rgb="FFF2F2F2"/>
        <bgColor rgb="FFE8F0E8"/>
      </patternFill>
    </fill>
    <fill>
      <patternFill patternType="solid">
        <fgColor rgb="FFE8F0E8"/>
        <bgColor rgb="FFF2F2F2"/>
      </patternFill>
    </fill>
    <fill>
      <patternFill patternType="solid">
        <fgColor rgb="FFD9E8D9"/>
        <bgColor rgb="FFE8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38"/>
    <col collapsed="false" customWidth="true" hidden="false" outlineLevel="0" max="8" min="7" style="0" width="14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F6" s="3" t="s">
        <v>3</v>
      </c>
      <c r="G6" s="3"/>
      <c r="H6" s="3"/>
    </row>
    <row r="7" customFormat="false" ht="15" hidden="false" customHeight="false" outlineLevel="0" collapsed="false">
      <c r="B7" s="4" t="s">
        <v>4</v>
      </c>
      <c r="C7" s="4"/>
      <c r="D7" s="5" t="n">
        <v>20</v>
      </c>
      <c r="F7" s="4" t="s">
        <v>5</v>
      </c>
      <c r="G7" s="4"/>
      <c r="H7" s="6" t="n">
        <f aca="false">D7*D8</f>
        <v>800</v>
      </c>
    </row>
    <row r="8" customFormat="false" ht="15" hidden="false" customHeight="false" outlineLevel="0" collapsed="false">
      <c r="B8" s="4" t="s">
        <v>6</v>
      </c>
      <c r="C8" s="4"/>
      <c r="D8" s="5" t="n">
        <v>40</v>
      </c>
      <c r="F8" s="4" t="s">
        <v>7</v>
      </c>
      <c r="G8" s="4"/>
      <c r="H8" s="7" t="n">
        <f aca="false">D10*1.4</f>
        <v>840</v>
      </c>
    </row>
    <row r="9" customFormat="false" ht="15" hidden="false" customHeight="false" outlineLevel="0" collapsed="false">
      <c r="B9" s="4" t="s">
        <v>8</v>
      </c>
      <c r="C9" s="4"/>
      <c r="D9" s="5" t="n">
        <v>3</v>
      </c>
      <c r="F9" s="4" t="s">
        <v>9</v>
      </c>
      <c r="G9" s="4"/>
      <c r="H9" s="6" t="n">
        <f aca="false">(D9*100*SQRT(12))/D7</f>
        <v>51.9615242270663</v>
      </c>
    </row>
    <row r="10" customFormat="false" ht="57.45" hidden="false" customHeight="false" outlineLevel="0" collapsed="false">
      <c r="B10" s="4" t="s">
        <v>10</v>
      </c>
      <c r="C10" s="4"/>
      <c r="D10" s="5" t="n">
        <v>600</v>
      </c>
      <c r="F10" s="8" t="s">
        <v>11</v>
      </c>
      <c r="G10" s="8"/>
      <c r="H10" s="9" t="str">
        <f aca="false">IF(H9&lt;=35,"CURTO (efeitos de 2ª ordem podem ser desprezados)",IF(H9&lt;=90,"MÉDIO — verificar efeitos de 2ª ordem (método do pilar padrão)","ESBELTO — exige análise rigorosa de 2ª ordem, não coberta por esta planilha"))</f>
        <v>MÉDIO — verificar efeitos de 2ª ordem (método do pilar padrão)</v>
      </c>
    </row>
    <row r="11" customFormat="false" ht="15" hidden="false" customHeight="false" outlineLevel="0" collapsed="false">
      <c r="B11" s="4" t="s">
        <v>12</v>
      </c>
      <c r="C11" s="4"/>
      <c r="D11" s="5" t="n">
        <v>25</v>
      </c>
      <c r="F11" s="4" t="s">
        <v>13</v>
      </c>
      <c r="G11" s="4"/>
      <c r="H11" s="7" t="n">
        <f aca="false">MAX(D9*100/300,2)</f>
        <v>2</v>
      </c>
    </row>
    <row r="12" customFormat="false" ht="15" hidden="false" customHeight="false" outlineLevel="0" collapsed="false">
      <c r="B12" s="4" t="s">
        <v>14</v>
      </c>
      <c r="C12" s="4"/>
      <c r="D12" s="5" t="n">
        <v>500</v>
      </c>
      <c r="F12" s="4" t="s">
        <v>15</v>
      </c>
      <c r="G12" s="4"/>
      <c r="H12" s="7" t="n">
        <f aca="false">H8*H11/100</f>
        <v>16.8</v>
      </c>
    </row>
    <row r="13" customFormat="false" ht="39.75" hidden="false" customHeight="true" outlineLevel="0" collapsed="false">
      <c r="B13" s="10" t="s">
        <v>16</v>
      </c>
      <c r="C13" s="10"/>
      <c r="D13" s="10"/>
      <c r="F13" s="4" t="s">
        <v>17</v>
      </c>
      <c r="G13" s="4"/>
      <c r="H13" s="11" t="n">
        <f aca="false">(D11/10)/1.4</f>
        <v>1.78571428571429</v>
      </c>
    </row>
    <row r="14" customFormat="false" ht="15" hidden="false" customHeight="false" outlineLevel="0" collapsed="false">
      <c r="F14" s="4" t="s">
        <v>18</v>
      </c>
      <c r="G14" s="4"/>
      <c r="H14" s="11" t="n">
        <f aca="false">(D12/10)/1.15</f>
        <v>43.4782608695652</v>
      </c>
    </row>
    <row r="15" customFormat="false" ht="15" hidden="false" customHeight="false" outlineLevel="0" collapsed="false">
      <c r="F15" s="4" t="s">
        <v>19</v>
      </c>
      <c r="G15" s="4"/>
      <c r="H15" s="7" t="n">
        <f aca="false">MAX((H8-0.85*H13*H7)/(H14-0.85*H13),0)</f>
        <v>0</v>
      </c>
    </row>
    <row r="16" customFormat="false" ht="15" hidden="false" customHeight="false" outlineLevel="0" collapsed="false">
      <c r="F16" s="4" t="s">
        <v>20</v>
      </c>
      <c r="G16" s="4"/>
      <c r="H16" s="7" t="n">
        <f aca="false">MAX(0.15*H8/H14,0.004*H7)</f>
        <v>3.2</v>
      </c>
    </row>
    <row r="17" customFormat="false" ht="15" hidden="false" customHeight="false" outlineLevel="0" collapsed="false">
      <c r="F17" s="4" t="s">
        <v>21</v>
      </c>
      <c r="G17" s="4"/>
      <c r="H17" s="7" t="n">
        <f aca="false">0.08*H7</f>
        <v>64</v>
      </c>
    </row>
    <row r="18" customFormat="false" ht="15" hidden="false" customHeight="false" outlineLevel="0" collapsed="false">
      <c r="F18" s="8" t="s">
        <v>22</v>
      </c>
      <c r="G18" s="8"/>
      <c r="H18" s="12" t="n">
        <f aca="false">MAX(H15,H16)</f>
        <v>3.2</v>
      </c>
    </row>
    <row r="19" customFormat="false" ht="15" hidden="false" customHeight="false" outlineLevel="0" collapsed="false">
      <c r="F19" s="8" t="s">
        <v>23</v>
      </c>
      <c r="G19" s="8"/>
      <c r="H19" s="9" t="str">
        <f aca="false">IF(H18&lt;=H17,"OK","SEÇÃO INSUFICIENTE — aumente b×h")</f>
        <v>OK</v>
      </c>
    </row>
    <row r="20" customFormat="false" ht="15" hidden="false" customHeight="false" outlineLevel="0" collapsed="false">
      <c r="F20" s="4" t="s">
        <v>24</v>
      </c>
      <c r="G20" s="4"/>
      <c r="H20" s="13" t="n">
        <f aca="false">ROUNDUP(H18/1.25,0)</f>
        <v>3</v>
      </c>
    </row>
    <row r="21" customFormat="false" ht="15" hidden="false" customHeight="false" outlineLevel="0" collapsed="false">
      <c r="F21" s="4" t="s">
        <v>25</v>
      </c>
      <c r="G21" s="4"/>
      <c r="H21" s="13" t="n">
        <f aca="false">ROUNDUP(H18/2.01,0)</f>
        <v>2</v>
      </c>
    </row>
    <row r="22" customFormat="false" ht="15" hidden="false" customHeight="false" outlineLevel="0" collapsed="false">
      <c r="F22" s="4" t="s">
        <v>26</v>
      </c>
      <c r="G22" s="4"/>
      <c r="H22" s="13" t="n">
        <f aca="false">ROUNDUP(H18/3.15,0)</f>
        <v>2</v>
      </c>
    </row>
    <row r="24" customFormat="false" ht="18" hidden="false" customHeight="true" outlineLevel="0" collapsed="false">
      <c r="B24" s="3" t="s">
        <v>27</v>
      </c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B25" s="10" t="s">
        <v>28</v>
      </c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B26" s="10" t="s">
        <v>29</v>
      </c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B27" s="10" t="s">
        <v>30</v>
      </c>
      <c r="C27" s="10"/>
      <c r="D27" s="10"/>
      <c r="E27" s="10"/>
      <c r="F27" s="10"/>
      <c r="G27" s="10"/>
      <c r="H27" s="10"/>
    </row>
    <row r="28" customFormat="false" ht="15" hidden="false" customHeight="true" outlineLevel="0" collapsed="false">
      <c r="B28" s="10" t="s">
        <v>31</v>
      </c>
      <c r="C28" s="10"/>
      <c r="D28" s="10"/>
      <c r="E28" s="10"/>
      <c r="F28" s="10"/>
      <c r="G28" s="10"/>
      <c r="H28" s="10"/>
    </row>
    <row r="29" customFormat="false" ht="15" hidden="false" customHeight="true" outlineLevel="0" collapsed="false">
      <c r="B29" s="10" t="s">
        <v>32</v>
      </c>
      <c r="C29" s="10"/>
      <c r="D29" s="10"/>
      <c r="E29" s="10"/>
      <c r="F29" s="10"/>
      <c r="G29" s="10"/>
      <c r="H29" s="10"/>
    </row>
  </sheetData>
  <mergeCells count="33">
    <mergeCell ref="B2:H3"/>
    <mergeCell ref="B4:H4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D13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B24:H24"/>
    <mergeCell ref="B25:H25"/>
    <mergeCell ref="B26:H26"/>
    <mergeCell ref="B27:H27"/>
    <mergeCell ref="B28:H28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2026-08-08T14:06:42Z</dcterms:created>
  <dc:creator>openpyxl</dc:creator>
  <dc:description/>
  <dc:language>en-US</dc:language>
  <cp:lastModifiedBy/>
  <dcterms:modified xsi:type="dcterms:W3CDTF">2026-08-08T14:06:42Z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